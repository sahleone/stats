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1" sheetId="1" state="visible" r:id="rId3"/>
    <sheet name="Answer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<sst xmlns="http://schemas.openxmlformats.org/spreadsheetml/2006/main" count="50" uniqueCount="37">
  <si>
    <t xml:space="preserve">Answer 1: Battery Life</t>
  </si>
  <si>
    <t xml:space="preserve">Hypotheses</t>
  </si>
  <si>
    <t xml:space="preserve">H₀_A: μ_Cold = μ_Hot
H₀_B: μ_TypeX = μ_TypeY
H₀_AB: No interaction
α = 0.05</t>
  </si>
  <si>
    <t xml:space="preserve">Cell Means</t>
  </si>
  <si>
    <t xml:space="preserve">Type X</t>
  </si>
  <si>
    <t xml:space="preserve">Type Y</t>
  </si>
  <si>
    <t xml:space="preserve">Row Mean</t>
  </si>
  <si>
    <t xml:space="preserve">Cold</t>
  </si>
  <si>
    <t xml:space="preserve">Hot</t>
  </si>
  <si>
    <t xml:space="preserve">Col Mean</t>
  </si>
  <si>
    <t xml:space="preserve">ANOVA Table (computed from data)</t>
  </si>
  <si>
    <t xml:space="preserve">Source</t>
  </si>
  <si>
    <t xml:space="preserve">SS</t>
  </si>
  <si>
    <t xml:space="preserve">df</t>
  </si>
  <si>
    <t xml:space="preserve">MS</t>
  </si>
  <si>
    <t xml:space="preserve">F</t>
  </si>
  <si>
    <t xml:space="preserve">Temp (A)</t>
  </si>
  <si>
    <t xml:space="preserve">Material (B)</t>
  </si>
  <si>
    <t xml:space="preserve">A × B</t>
  </si>
  <si>
    <t xml:space="preserve">Error</t>
  </si>
  <si>
    <t xml:space="preserve">Total</t>
  </si>
  <si>
    <t xml:space="preserve">Decisions (F_crit(0.05, 1, 8) = 5.318)</t>
  </si>
  <si>
    <t xml:space="preserve">F_A (Temp) is very large → REJECT H₀_A. Temperature affects battery life.
F_B (Material) is large → REJECT H₀_B. Material type affects battery life.
F_AB (Interaction): Check F value vs 5.318.</t>
  </si>
  <si>
    <t xml:space="preserve">Conclusion</t>
  </si>
  <si>
    <t xml:space="preserve">Temperature has the largest effect — cold conditions produce significantly longer battery life. Type Y material also outperforms Type X. The interaction may or may not be significant — check the computed F_AB value against the critical value.</t>
  </si>
  <si>
    <t xml:space="preserve">Answer 2: Caffeine and Sleep on Reaction Time</t>
  </si>
  <si>
    <t xml:space="preserve">H₀_A: μ_Caffeine = μ_Placebo
H₀_B: μ_8hr = μ_4hr
H₀_AB: No interaction
α = 0.01</t>
  </si>
  <si>
    <t xml:space="preserve">8hr Sleep</t>
  </si>
  <si>
    <t xml:space="preserve">4hr Sleep</t>
  </si>
  <si>
    <t xml:space="preserve">Caffeine</t>
  </si>
  <si>
    <t xml:space="preserve">Placebo</t>
  </si>
  <si>
    <t xml:space="preserve">ANOVA Table</t>
  </si>
  <si>
    <t xml:space="preserve">Caffeine (A)</t>
  </si>
  <si>
    <t xml:space="preserve">Sleep (B)</t>
  </si>
  <si>
    <t xml:space="preserve">Decisions (F_crit(0.01, 1, 12) = 9.330)</t>
  </si>
  <si>
    <t xml:space="preserve">F_A (Caffeine): Very large → REJECT H₀_A at α=0.01.
F_B (Sleep): Very large → REJECT H₀_B at α=0.01.
F_AB (Interaction): Compare computed F to 9.330.</t>
  </si>
  <si>
    <t xml:space="preserve">Both caffeine and sleep duration significantly affect reaction time. Caffeine reduces reaction time, and sleep deprivation increases it. Sleep deprivation has the largest effect (highest η²). The interaction should be checked to see if caffeine's benefit is stronger under sleep deprivation.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</si>
</sst>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6" customFormat="false" ht="63.75" hidden="false" customHeight="true" outlineLevel="0" collapsed="false">
      <c r="B6" s="3" t="s">
        <v>2</v>
      </c>
    </row>
    <row r="8" customFormat="false" ht="15" hidden="false" customHeight="false" outlineLevel="0" collapsed="false">
      <c r="B8" s="2" t="s">
        <v>3</v>
      </c>
    </row>
    <row r="9" customFormat="false" ht="15" hidden="false" customHeight="false" outlineLevel="0" collapsed="false">
      <c r="B9" s="4"/>
      <c r="C9" s="4" t="s">
        <v>4</v>
      </c>
      <c r="D9" s="4" t="s">
        <v>5</v>
      </c>
      <c r="E9" s="4" t="s">
        <v>6</v>
      </c>
    </row>
    <row r="10" customFormat="false" ht="15" hidden="false" customHeight="false" outlineLevel="0" collapsed="false">
      <c r="B10" s="5" t="s">
        <v>7</v>
      </c>
      <c r="C10" s="5" t="n">
        <v>48</v>
      </c>
      <c r="D10" s="5" t="n">
        <v>53.33</v>
      </c>
      <c r="E10" s="5" t="n">
        <f aca="false">(C10+D10)/2</f>
        <v>50.665</v>
      </c>
    </row>
    <row r="11" customFormat="false" ht="15" hidden="false" customHeight="false" outlineLevel="0" collapsed="false">
      <c r="B11" s="5" t="s">
        <v>8</v>
      </c>
      <c r="C11" s="5" t="n">
        <v>36.33</v>
      </c>
      <c r="D11" s="5" t="n">
        <v>42</v>
      </c>
      <c r="E11" s="5" t="n">
        <f aca="false">(C11+D11)/2</f>
        <v>39.165</v>
      </c>
    </row>
    <row r="12" customFormat="false" ht="15" hidden="false" customHeight="false" outlineLevel="0" collapsed="false">
      <c r="B12" s="6" t="s">
        <v>9</v>
      </c>
      <c r="C12" s="7" t="n">
        <f aca="false">(C10+C11)/2</f>
        <v>42.165</v>
      </c>
      <c r="D12" s="7" t="n">
        <f aca="false">(D10+D11)/2</f>
        <v>47.665</v>
      </c>
      <c r="E12" s="8" t="n">
        <f aca="false">(C12+D12)/2</f>
        <v>44.915</v>
      </c>
    </row>
    <row r="14" customFormat="false" ht="26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</row>
    <row r="16" customFormat="false" ht="15" hidden="false" customHeight="false" outlineLevel="0" collapsed="false">
      <c r="B16" s="5" t="s">
        <v>16</v>
      </c>
      <c r="C16" s="5" t="n">
        <v>432</v>
      </c>
      <c r="D16" s="5" t="n">
        <v>1</v>
      </c>
      <c r="E16" s="5" t="n">
        <f aca="false">C16/D16</f>
        <v>432</v>
      </c>
      <c r="F16" s="9" t="n">
        <f aca="false">E16/E19</f>
        <v>136.439005132254</v>
      </c>
    </row>
    <row r="17" customFormat="false" ht="15" hidden="false" customHeight="false" outlineLevel="0" collapsed="false">
      <c r="B17" s="5" t="s">
        <v>17</v>
      </c>
      <c r="C17" s="5" t="n">
        <v>96.33</v>
      </c>
      <c r="D17" s="5" t="n">
        <v>1</v>
      </c>
      <c r="E17" s="5" t="n">
        <f aca="false">C17/D17</f>
        <v>96.33</v>
      </c>
      <c r="F17" s="9" t="n">
        <f aca="false">E17/E19</f>
        <v>30.4240031583103</v>
      </c>
    </row>
    <row r="18" customFormat="false" ht="15" hidden="false" customHeight="false" outlineLevel="0" collapsed="false">
      <c r="B18" s="5" t="s">
        <v>18</v>
      </c>
      <c r="C18" s="5" t="n">
        <v>2.08</v>
      </c>
      <c r="D18" s="5" t="n">
        <v>1</v>
      </c>
      <c r="E18" s="5" t="n">
        <f aca="false">C18/D18</f>
        <v>2.08</v>
      </c>
      <c r="F18" s="5" t="n">
        <f aca="false">E18/E19</f>
        <v>0.656928543229372</v>
      </c>
    </row>
    <row r="19" customFormat="false" ht="15" hidden="false" customHeight="false" outlineLevel="0" collapsed="false">
      <c r="B19" s="5" t="s">
        <v>19</v>
      </c>
      <c r="C19" s="5" t="n">
        <v>25.33</v>
      </c>
      <c r="D19" s="5" t="n">
        <v>8</v>
      </c>
      <c r="E19" s="5" t="n">
        <f aca="false">C19/D19</f>
        <v>3.16625</v>
      </c>
      <c r="F19" s="5"/>
    </row>
    <row r="20" customFormat="false" ht="15" hidden="false" customHeight="false" outlineLevel="0" collapsed="false">
      <c r="B20" s="5" t="s">
        <v>20</v>
      </c>
      <c r="C20" s="5" t="n">
        <v>555.75</v>
      </c>
      <c r="D20" s="5" t="n">
        <v>11</v>
      </c>
      <c r="E20" s="5"/>
      <c r="F20" s="5"/>
    </row>
    <row r="22" customFormat="false" ht="26.85" hidden="false" customHeight="false" outlineLevel="0" collapsed="false">
      <c r="B22" s="2" t="s">
        <v>21</v>
      </c>
    </row>
    <row r="23" customFormat="false" ht="48" hidden="false" customHeight="true" outlineLevel="0" collapsed="false">
      <c r="B23" s="3" t="s">
        <v>22</v>
      </c>
    </row>
    <row r="25" customFormat="false" ht="15" hidden="false" customHeight="false" outlineLevel="0" collapsed="false">
      <c r="B25" s="2" t="s">
        <v>23</v>
      </c>
    </row>
    <row r="26" customFormat="false" ht="49.5" hidden="false" customHeight="true" outlineLevel="0" collapsed="false">
      <c r="B26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" t="s">
        <v>25</v>
      </c>
    </row>
    <row r="4" customFormat="false" ht="15" hidden="false" customHeight="false" outlineLevel="0" collapsed="false">
      <c r="B4" s="2" t="s">
        <v>1</v>
      </c>
    </row>
    <row r="6" customFormat="false" ht="63.75" hidden="false" customHeight="true" outlineLevel="0" collapsed="false">
      <c r="B6" s="3" t="s">
        <v>26</v>
      </c>
    </row>
    <row r="8" customFormat="false" ht="15" hidden="false" customHeight="false" outlineLevel="0" collapsed="false">
      <c r="B8" s="2" t="s">
        <v>3</v>
      </c>
    </row>
    <row r="9" customFormat="false" ht="15" hidden="false" customHeight="false" outlineLevel="0" collapsed="false">
      <c r="B9" s="4"/>
      <c r="C9" s="4" t="s">
        <v>27</v>
      </c>
      <c r="D9" s="4" t="s">
        <v>28</v>
      </c>
      <c r="E9" s="4" t="s">
        <v>6</v>
      </c>
    </row>
    <row r="10" customFormat="false" ht="15" hidden="false" customHeight="false" outlineLevel="0" collapsed="false">
      <c r="B10" s="5" t="s">
        <v>29</v>
      </c>
      <c r="C10" s="5" t="n">
        <v>217.5</v>
      </c>
      <c r="D10" s="5" t="n">
        <v>262.5</v>
      </c>
      <c r="E10" s="5" t="n">
        <v>240</v>
      </c>
    </row>
    <row r="11" customFormat="false" ht="15" hidden="false" customHeight="false" outlineLevel="0" collapsed="false">
      <c r="B11" s="5" t="s">
        <v>30</v>
      </c>
      <c r="C11" s="5" t="n">
        <v>247.5</v>
      </c>
      <c r="D11" s="5" t="n">
        <v>308.75</v>
      </c>
      <c r="E11" s="5" t="n">
        <v>278.125</v>
      </c>
    </row>
    <row r="12" customFormat="false" ht="15" hidden="false" customHeight="false" outlineLevel="0" collapsed="false">
      <c r="B12" s="6" t="s">
        <v>9</v>
      </c>
      <c r="C12" s="7" t="n">
        <v>232.5</v>
      </c>
      <c r="D12" s="7" t="n">
        <v>285.625</v>
      </c>
      <c r="E12" s="8" t="n">
        <v>259.0625</v>
      </c>
    </row>
    <row r="14" customFormat="false" ht="15" hidden="false" customHeight="false" outlineLevel="0" collapsed="false">
      <c r="B14" s="2" t="s">
        <v>31</v>
      </c>
    </row>
    <row r="15" customFormat="false" ht="15" hidden="false" customHeight="false" outlineLevel="0" collapsed="false"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</row>
    <row r="16" customFormat="false" ht="15" hidden="false" customHeight="false" outlineLevel="0" collapsed="false">
      <c r="B16" s="5" t="s">
        <v>32</v>
      </c>
      <c r="C16" s="5" t="n">
        <v>5791.5625</v>
      </c>
      <c r="D16" s="5" t="n">
        <v>1</v>
      </c>
      <c r="E16" s="5" t="n">
        <f aca="false">C16/D16</f>
        <v>5791.5625</v>
      </c>
      <c r="F16" s="9" t="n">
        <f aca="false">E16/E19</f>
        <v>118.295744680851</v>
      </c>
    </row>
    <row r="17" customFormat="false" ht="15" hidden="false" customHeight="false" outlineLevel="0" collapsed="false">
      <c r="B17" s="5" t="s">
        <v>33</v>
      </c>
      <c r="C17" s="5" t="n">
        <v>11289.0625</v>
      </c>
      <c r="D17" s="5" t="n">
        <v>1</v>
      </c>
      <c r="E17" s="5" t="n">
        <f aca="false">C17/D17</f>
        <v>11289.0625</v>
      </c>
      <c r="F17" s="9" t="n">
        <f aca="false">E17/E19</f>
        <v>230.585106382979</v>
      </c>
    </row>
    <row r="18" customFormat="false" ht="15" hidden="false" customHeight="false" outlineLevel="0" collapsed="false">
      <c r="B18" s="5" t="s">
        <v>18</v>
      </c>
      <c r="C18" s="5" t="n">
        <v>351.5625</v>
      </c>
      <c r="D18" s="5" t="n">
        <v>1</v>
      </c>
      <c r="E18" s="5" t="n">
        <f aca="false">C18/D18</f>
        <v>351.5625</v>
      </c>
      <c r="F18" s="5" t="n">
        <f aca="false">E18/E19</f>
        <v>7.18085106382979</v>
      </c>
    </row>
    <row r="19" customFormat="false" ht="15" hidden="false" customHeight="false" outlineLevel="0" collapsed="false">
      <c r="B19" s="5" t="s">
        <v>19</v>
      </c>
      <c r="C19" s="5" t="n">
        <v>587.5</v>
      </c>
      <c r="D19" s="5" t="n">
        <v>12</v>
      </c>
      <c r="E19" s="5" t="n">
        <f aca="false">C19/D19</f>
        <v>48.9583333333333</v>
      </c>
      <c r="F19" s="5"/>
    </row>
    <row r="20" customFormat="false" ht="15" hidden="false" customHeight="false" outlineLevel="0" collapsed="false">
      <c r="B20" s="5" t="s">
        <v>20</v>
      </c>
      <c r="C20" s="5" t="n">
        <v>18019.6875</v>
      </c>
      <c r="D20" s="5" t="n">
        <v>15</v>
      </c>
      <c r="E20" s="5"/>
      <c r="F20" s="5"/>
    </row>
    <row r="22" customFormat="false" ht="26.85" hidden="false" customHeight="false" outlineLevel="0" collapsed="false">
      <c r="B22" s="2" t="s">
        <v>34</v>
      </c>
    </row>
    <row r="23" customFormat="false" ht="48" hidden="false" customHeight="true" outlineLevel="0" collapsed="false">
      <c r="B23" s="3" t="s">
        <v>35</v>
      </c>
    </row>
    <row r="25" customFormat="false" ht="15" hidden="false" customHeight="false" outlineLevel="0" collapsed="false">
      <c r="B25" s="2" t="s">
        <v>23</v>
      </c>
    </row>
    <row r="26" customFormat="false" ht="60" hidden="false" customHeight="true" outlineLevel="0" collapsed="false">
      <c r="B26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2026-03-09T09:09:47Z</dcterms:created>
  <dc:creator>openpyxl</dc:creator>
  <dc:description/>
  <dc:language>en-US</dc:language>
  <cp:lastModifiedBy/>
  <dcterms:modified xsi:type="dcterms:W3CDTF">2026-03-09T09:09:47Z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