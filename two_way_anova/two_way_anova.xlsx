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 Example" sheetId="2" state="visible" r:id="rId2"/>
    <sheet xmlns:r="http://schemas.openxmlformats.org/officeDocument/2006/relationships" name="Worked Example (Formulas)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b val="1"/>
      <color rgb="FF2F5496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2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13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2" min="1" max="1"/>
    <col width="65" customWidth="1" style="12" min="2" max="2"/>
    <col width="30" customWidth="1" style="12" min="3" max="3"/>
  </cols>
  <sheetData>
    <row r="1" ht="17.35" customHeight="1" s="13">
      <c r="B1" s="14" t="inlineStr">
        <is>
          <t>Two-Way ANOVA</t>
        </is>
      </c>
    </row>
    <row r="3" ht="15" customHeight="1" s="13">
      <c r="B3" s="15" t="inlineStr">
        <is>
          <t>Definition</t>
        </is>
      </c>
    </row>
    <row r="4" ht="96" customHeight="1" s="13">
      <c r="B4" s="16" t="inlineStr">
        <is>
          <t>Two-way ANOVA tests the effects of two categorical factors (Factor A and Factor B) on a continuous outcome variable. It simultaneously tests:
  1. The main effect of Factor A
  2. The main effect of Factor B
  3. The interaction effect of A × B
'Two-way' means there are two independent variables (factors).</t>
        </is>
      </c>
    </row>
    <row r="6" ht="15" customHeight="1" s="13">
      <c r="B6" s="15" t="inlineStr">
        <is>
          <t>Hypotheses</t>
        </is>
      </c>
    </row>
    <row r="7" ht="207.75" customHeight="1" s="13">
      <c r="B7" s="16" t="inlineStr">
        <is>
          <t>Three separate hypothesis tests are conducted:
Main Effect A:
  H₀: All levels of Factor A have equal means (μ_A1 = μ_A2 = ...)
  H₁: At least one level of Factor A has a different mean
Main Effect B:
  H₀: All levels of Factor B have equal means (μ_B1 = μ_B2 = ...)
  H₁: At least one level of Factor B has a different mean
Interaction A × B:
  H₀: There is no interaction between Factor A and Factor B
  H₁: There is an interaction (the effect of one factor depends on the level of the other)</t>
        </is>
      </c>
    </row>
    <row r="9" ht="15" customHeight="1" s="13">
      <c r="B9" s="15" t="inlineStr">
        <is>
          <t>Understanding Interaction</t>
        </is>
      </c>
    </row>
    <row r="10" ht="79.5" customHeight="1" s="13">
      <c r="B10" s="16" t="inlineStr">
        <is>
          <t>An interaction exists when the effect of one factor changes depending on the level of the other factor.
Example: A drug might improve health for young patients but not old patients. Here, the effect of the drug (Factor A) depends on age group (Factor B).
Visually: If you plot the cell means with Factor B on the x-axis and separate lines for each level of Factor A, parallel lines suggest NO interaction. Non-parallel (crossing or diverging) lines suggest an interaction.</t>
        </is>
      </c>
    </row>
    <row r="12" ht="15" customHeight="1" s="13">
      <c r="B12" s="15" t="inlineStr">
        <is>
          <t>Two-Way ANOVA Table</t>
        </is>
      </c>
    </row>
    <row r="13" ht="111.75" customHeight="1" s="13">
      <c r="B13" s="16" t="inlineStr">
        <is>
          <t>Source       | SS      | df          | MS        | F
─────────────|─────────|─────────────|───────────|──────────
Factor A     | SS_A    | a − 1       | SS_A/df_A | MS_A/MS_E
Factor B     | SS_B    | b − 1       | SS_B/df_B | MS_B/MS_E
Interaction  | SS_AB   | (a−1)(b−1)  | SS_AB/df  | MS_AB/MS_E
Error        | SS_E    | N − ab      | SS_E/df_E |
Total        | SS_T    | N − 1       |           |</t>
        </is>
      </c>
    </row>
    <row r="15" ht="15" customHeight="1" s="13">
      <c r="B15" s="15" t="inlineStr">
        <is>
          <t>Formulas</t>
        </is>
      </c>
    </row>
    <row r="16" ht="159.75" customHeight="1" s="13">
      <c r="B16" s="16" t="inlineStr">
        <is>
          <t>a = number of levels of Factor A
b = number of levels of Factor B
n = number of observations per cell (balanced design)
N = total observations = a × b × n
SS_A = b·n · Σ (x̄_Ai − x̄)²
SS_B = a·n · Σ (x̄_Bj − x̄)²
SS_AB = n · Σ Σ (x̄_ij − x̄_Ai − x̄_Bj + x̄)²
SS_E = Σ Σ Σ (x_ijk − x̄_ij)²
SS_T = Σ Σ Σ (x_ijk − x̄)² = SS_A + SS_B + SS_AB + SS_E</t>
        </is>
      </c>
    </row>
    <row r="18" ht="15" customHeight="1" s="13">
      <c r="B18" s="15" t="inlineStr">
        <is>
          <t>Decision Rules</t>
        </is>
      </c>
    </row>
    <row r="19" ht="111.75" customHeight="1" s="13">
      <c r="B19" s="16" t="inlineStr">
        <is>
          <t>For each of the three F-tests:
  Reject H₀ if F_calc &gt; F_critical
  Or reject H₀ if p-value &lt; α
F_A = MS_A / MS_E   with df = (a−1, N−ab)
F_B = MS_B / MS_E   with df = (b−1, N−ab)
F_AB = MS_AB / MS_E with df = ((a−1)(b−1), N−ab)</t>
        </is>
      </c>
    </row>
    <row r="21" ht="15" customHeight="1" s="13">
      <c r="B21" s="15" t="inlineStr">
        <is>
          <t>Assumptions</t>
        </is>
      </c>
    </row>
    <row r="22" ht="63.75" customHeight="1" s="13">
      <c r="B22" s="16" t="inlineStr">
        <is>
          <t>1. Independence: Observations are independent.
2. Normality: The outcome variable is approximately normal within each cell (combination of factor levels).
3. Equal Variances: The variance of the outcome is equal across all cells.
4. Balanced design is preferred (equal n in each cell), though unbalanced designs can be analyzed.</t>
        </is>
      </c>
    </row>
    <row r="24" ht="15" customHeight="1" s="13">
      <c r="B24" s="15" t="inlineStr">
        <is>
          <t>Effect Size</t>
        </is>
      </c>
    </row>
    <row r="25" ht="79.5" customHeight="1" s="13">
      <c r="B25" s="16" t="inlineStr">
        <is>
          <t>η²_A = SS_A / SS_total  (proportion of variance explained by Factor A)
η²_B = SS_B / SS_total  (proportion of variance explained by Factor B)
η²_AB = SS_AB / SS_total (proportion explained by the interaction)
Interpretation: same scale as one-way ANOVA (0.01=small, 0.06=medium, 0.14=large)</t>
        </is>
      </c>
    </row>
    <row r="27" ht="15" customHeight="1" s="13">
      <c r="B27" s="15" t="inlineStr">
        <is>
          <t>Interpretation Strategy</t>
        </is>
      </c>
    </row>
    <row r="28" ht="63.75" customHeight="1" s="13">
      <c r="B28" s="16" t="inlineStr">
        <is>
          <t>1. Check the interaction first. If significant, the main effects must be interpreted cautiously — the effect of one factor depends on the other.
2. If no interaction, interpret main effects independently.
3. Use interaction plots (profile plots) to visualize patterns.
4. Post-hoc tests may be needed for factors with more than 2 levels.</t>
        </is>
      </c>
    </row>
    <row r="30" ht="15" customHeight="1" s="13">
      <c r="B30" s="15" t="inlineStr">
        <is>
          <t>Notation Summary</t>
        </is>
      </c>
    </row>
    <row r="31" ht="175.5" customHeight="1" s="13">
      <c r="B31" s="16" t="inlineStr">
        <is>
          <t>a = levels of Factor A
b = levels of Factor B
n = observations per cell
N = total sample size = a·b·n
x̄_Ai = marginal mean for level i of Factor A
x̄_Bj = marginal mean for level j of Factor B
x̄_ij = cell mean for level i of A and level j of B
x̄ = grand mean
SS = sum of squares
MS = mean square = SS / df
η² = eta-squared (effect size)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2" min="1" max="1"/>
    <col width="24" customWidth="1" style="12" min="2" max="2"/>
    <col width="16" customWidth="1" style="12" min="3" max="5"/>
  </cols>
  <sheetData>
    <row r="1" ht="17.35" customHeight="1" s="13">
      <c r="B1" s="14" t="inlineStr">
        <is>
          <t>Worked Example: Exercise and Diet on Weight Loss</t>
        </is>
      </c>
    </row>
    <row r="4" ht="15" customHeight="1" s="13">
      <c r="B4" s="17" t="inlineStr">
        <is>
          <t>Problem:</t>
        </is>
      </c>
    </row>
    <row r="5" ht="30" customHeight="1" s="13">
      <c r="B5" s="16" t="inlineStr">
        <is>
          <t>A researcher studies the effect of exercise type (Cardio vs Weights) and diet (Low-Carb vs Standard) on weight loss (kg) over 8 weeks. 4 participants per cell (balanced). Test all three effects at α = 0.05.</t>
        </is>
      </c>
    </row>
    <row r="7" ht="26.85" customHeight="1" s="13">
      <c r="B7" s="15" t="inlineStr">
        <is>
          <t>Step 1: Data (Weight Loss in kg)</t>
        </is>
      </c>
    </row>
    <row r="8" ht="15" customHeight="1" s="13">
      <c r="B8" s="18" t="n"/>
      <c r="C8" s="18" t="inlineStr">
        <is>
          <t>Low-Carb</t>
        </is>
      </c>
      <c r="D8" s="18" t="inlineStr">
        <is>
          <t>Standard</t>
        </is>
      </c>
    </row>
    <row r="9" ht="15" customHeight="1" s="13">
      <c r="B9" s="19" t="inlineStr">
        <is>
          <t>Cardio</t>
        </is>
      </c>
    </row>
    <row r="10" ht="15" customHeight="1" s="13">
      <c r="B10" s="20" t="inlineStr">
        <is>
          <t>P1</t>
        </is>
      </c>
      <c r="C10" s="20" t="n">
        <v>5.2</v>
      </c>
      <c r="D10" s="20" t="n">
        <v>3.5</v>
      </c>
    </row>
    <row r="11" ht="15" customHeight="1" s="13">
      <c r="B11" s="20" t="inlineStr">
        <is>
          <t>P2</t>
        </is>
      </c>
      <c r="C11" s="20" t="n">
        <v>6.1</v>
      </c>
      <c r="D11" s="20" t="n">
        <v>4</v>
      </c>
    </row>
    <row r="12" ht="15" customHeight="1" s="13">
      <c r="B12" s="20" t="inlineStr">
        <is>
          <t>P3</t>
        </is>
      </c>
      <c r="C12" s="20" t="n">
        <v>5.8</v>
      </c>
      <c r="D12" s="20" t="n">
        <v>3.8</v>
      </c>
    </row>
    <row r="13" ht="15" customHeight="1" s="13">
      <c r="B13" s="20" t="inlineStr">
        <is>
          <t>P4</t>
        </is>
      </c>
      <c r="C13" s="20" t="n">
        <v>6.5</v>
      </c>
      <c r="D13" s="20" t="n">
        <v>4.2</v>
      </c>
    </row>
    <row r="14" ht="15" customHeight="1" s="13">
      <c r="B14" s="19" t="inlineStr">
        <is>
          <t>Weights</t>
        </is>
      </c>
    </row>
    <row r="15" ht="15" customHeight="1" s="13">
      <c r="B15" s="20" t="inlineStr">
        <is>
          <t>P1</t>
        </is>
      </c>
      <c r="C15" s="20" t="n">
        <v>4</v>
      </c>
      <c r="D15" s="20" t="n">
        <v>2.5</v>
      </c>
    </row>
    <row r="16" ht="15" customHeight="1" s="13">
      <c r="B16" s="20" t="inlineStr">
        <is>
          <t>P2</t>
        </is>
      </c>
      <c r="C16" s="20" t="n">
        <v>4.5</v>
      </c>
      <c r="D16" s="20" t="n">
        <v>3</v>
      </c>
    </row>
    <row r="17" ht="15" customHeight="1" s="13">
      <c r="B17" s="20" t="inlineStr">
        <is>
          <t>P3</t>
        </is>
      </c>
      <c r="C17" s="20" t="n">
        <v>4.2</v>
      </c>
      <c r="D17" s="20" t="n">
        <v>2.8</v>
      </c>
    </row>
    <row r="18" ht="15" customHeight="1" s="13">
      <c r="B18" s="20" t="inlineStr">
        <is>
          <t>P4</t>
        </is>
      </c>
      <c r="C18" s="20" t="n">
        <v>4.8</v>
      </c>
      <c r="D18" s="20" t="n">
        <v>3.2</v>
      </c>
    </row>
    <row r="20" ht="26.85" customHeight="1" s="13">
      <c r="B20" s="15" t="inlineStr">
        <is>
          <t>Step 2: Cell Means and Marginal Means</t>
        </is>
      </c>
    </row>
    <row r="21" ht="15" customHeight="1" s="13">
      <c r="B21" s="18" t="n"/>
      <c r="C21" s="18" t="inlineStr">
        <is>
          <t>Low-Carb</t>
        </is>
      </c>
      <c r="D21" s="18" t="inlineStr">
        <is>
          <t>Standard</t>
        </is>
      </c>
      <c r="E21" s="18" t="inlineStr">
        <is>
          <t>Row Mean</t>
        </is>
      </c>
    </row>
    <row r="22" ht="15" customHeight="1" s="13">
      <c r="B22" s="20" t="inlineStr">
        <is>
          <t>Cardio</t>
        </is>
      </c>
      <c r="C22" s="20">
        <f>AVERAGE(C10:C13)</f>
        <v/>
      </c>
      <c r="D22" s="20">
        <f>AVERAGE(D10:D13)</f>
        <v/>
      </c>
      <c r="E22" s="20">
        <f>AVERAGE(C22,D22)</f>
        <v/>
      </c>
    </row>
    <row r="23" ht="15" customHeight="1" s="13">
      <c r="B23" s="20" t="inlineStr">
        <is>
          <t>Weights</t>
        </is>
      </c>
      <c r="C23" s="20">
        <f>AVERAGE(C15:C18)</f>
        <v/>
      </c>
      <c r="D23" s="20">
        <f>AVERAGE(D15:D18)</f>
        <v/>
      </c>
      <c r="E23" s="20">
        <f>AVERAGE(C23,D23)</f>
        <v/>
      </c>
    </row>
    <row r="24" ht="15" customHeight="1" s="13">
      <c r="B24" s="21" t="inlineStr">
        <is>
          <t>Col Mean</t>
        </is>
      </c>
      <c r="C24" s="21">
        <f>AVERAGE(C22,C23)</f>
        <v/>
      </c>
      <c r="D24" s="21">
        <f>AVERAGE(D22,D23)</f>
        <v/>
      </c>
      <c r="E24" s="22">
        <f>AVERAGE(C24,D24)</f>
        <v/>
      </c>
    </row>
    <row r="26" ht="26.85" customHeight="1" s="13">
      <c r="B26" s="15" t="inlineStr">
        <is>
          <t>Step 3: Compute Sums of Squares</t>
        </is>
      </c>
    </row>
    <row r="27" ht="30" customHeight="1" s="13">
      <c r="B27" s="16" t="inlineStr">
        <is>
          <t>n=4 per cell, a=2 (exercise), b=2 (diet), N=16</t>
        </is>
      </c>
    </row>
    <row r="29" ht="15" customHeight="1" s="13">
      <c r="B29" s="23" t="inlineStr">
        <is>
          <t>SS_A (Exercise) =</t>
        </is>
      </c>
      <c r="C29" s="22">
        <f>2*4*(E22-E24)^2+2*4*(E23-E24)^2</f>
        <v/>
      </c>
    </row>
    <row r="30" ht="15" customHeight="1" s="13">
      <c r="B30" s="23" t="inlineStr">
        <is>
          <t>SS_B (Diet) =</t>
        </is>
      </c>
      <c r="C30" s="22">
        <f>2*4*(C24-E24)^2+2*4*(D24-E24)^2</f>
        <v/>
      </c>
    </row>
    <row r="31" ht="15" customHeight="1" s="13">
      <c r="B31" s="23" t="inlineStr">
        <is>
          <t>SS_AB (Interaction) =</t>
        </is>
      </c>
      <c r="C31" s="22">
        <f>4*((C22-E22-C24+E24)^2+(D22-E22-D24+E24)^2+(C23-E23-C24+E24)^2+(D23-E23-D24+E24)^2)</f>
        <v/>
      </c>
    </row>
    <row r="32" ht="15" customHeight="1" s="13">
      <c r="B32" s="23" t="inlineStr">
        <is>
          <t>SS_Error =</t>
        </is>
      </c>
      <c r="C32" s="22">
        <f>SUMPRODUCT((C10:C13-C22)^2)+SUMPRODUCT((D10:D13-D22)^2)+SUMPRODUCT((C15:C18-C23)^2)+SUMPRODUCT((D15:D18-D23)^2)</f>
        <v/>
      </c>
    </row>
    <row r="34" ht="15" customHeight="1" s="13">
      <c r="B34" s="15" t="inlineStr">
        <is>
          <t>Step 4: ANOVA Table</t>
        </is>
      </c>
    </row>
    <row r="35" ht="15" customHeight="1" s="13">
      <c r="B35" s="18" t="inlineStr">
        <is>
          <t>Source</t>
        </is>
      </c>
      <c r="C35" s="18" t="inlineStr">
        <is>
          <t>SS</t>
        </is>
      </c>
      <c r="D35" s="18" t="inlineStr">
        <is>
          <t>df</t>
        </is>
      </c>
      <c r="E35" s="18" t="inlineStr">
        <is>
          <t>MS</t>
        </is>
      </c>
      <c r="F35" s="18" t="inlineStr">
        <is>
          <t>F</t>
        </is>
      </c>
    </row>
    <row r="36" ht="15" customHeight="1" s="13">
      <c r="B36" s="20" t="inlineStr">
        <is>
          <t>Exercise (A)</t>
        </is>
      </c>
      <c r="C36" s="20">
        <f>C29</f>
        <v/>
      </c>
      <c r="D36" s="20" t="n">
        <v>1</v>
      </c>
      <c r="E36" s="20">
        <f>C36/D36</f>
        <v/>
      </c>
      <c r="F36" s="24">
        <f>E36/E39</f>
        <v/>
      </c>
    </row>
    <row r="37" ht="15" customHeight="1" s="13">
      <c r="B37" s="20" t="inlineStr">
        <is>
          <t>Diet (B)</t>
        </is>
      </c>
      <c r="C37" s="20">
        <f>C30</f>
        <v/>
      </c>
      <c r="D37" s="20" t="n">
        <v>1</v>
      </c>
      <c r="E37" s="20">
        <f>C37/D37</f>
        <v/>
      </c>
      <c r="F37" s="24">
        <f>E37/E39</f>
        <v/>
      </c>
    </row>
    <row r="38" ht="15" customHeight="1" s="13">
      <c r="B38" s="20" t="inlineStr">
        <is>
          <t>A × B</t>
        </is>
      </c>
      <c r="C38" s="20">
        <f>C31</f>
        <v/>
      </c>
      <c r="D38" s="20" t="n">
        <v>1</v>
      </c>
      <c r="E38" s="20">
        <f>C38/D38</f>
        <v/>
      </c>
      <c r="F38" s="24">
        <f>E38/E39</f>
        <v/>
      </c>
    </row>
    <row r="39" ht="15" customHeight="1" s="13">
      <c r="B39" s="20" t="inlineStr">
        <is>
          <t>Error</t>
        </is>
      </c>
      <c r="C39" s="20">
        <f>C32</f>
        <v/>
      </c>
      <c r="D39" s="20" t="n">
        <v>12</v>
      </c>
      <c r="E39" s="20">
        <f>C39/D39</f>
        <v/>
      </c>
      <c r="F39" s="20" t="n"/>
    </row>
    <row r="40" ht="15" customHeight="1" s="13">
      <c r="B40" s="20" t="inlineStr">
        <is>
          <t>Total</t>
        </is>
      </c>
      <c r="C40" s="20">
        <f>C36+C37+C38+C39</f>
        <v/>
      </c>
      <c r="D40" s="20" t="n">
        <v>15</v>
      </c>
      <c r="E40" s="20" t="n"/>
      <c r="F40" s="20" t="n"/>
    </row>
    <row r="42" ht="39.55" customHeight="1" s="13">
      <c r="B42" s="15" t="inlineStr">
        <is>
          <t>Step 5: Decisions (F_critical(0.05, 1, 12) = 4.747)</t>
        </is>
      </c>
    </row>
    <row r="43" ht="48" customHeight="1" s="13">
      <c r="B43" s="16" t="inlineStr">
        <is>
          <t>F_A: Compare F36 cell → if &gt; 4.747, reject H₀_A
F_B: Compare F37 cell → if &gt; 4.747, reject H₀_B
F_AB: Compare F38 cell → if &gt; 4.747, reject H₀_AB</t>
        </is>
      </c>
    </row>
    <row r="45" ht="15" customHeight="1" s="13">
      <c r="B45" s="15" t="inlineStr">
        <is>
          <t>Step 6: Effect Sizes</t>
        </is>
      </c>
    </row>
    <row r="46" ht="15" customHeight="1" s="13">
      <c r="B46" s="23" t="inlineStr">
        <is>
          <t>η²_A =</t>
        </is>
      </c>
      <c r="C46" s="22">
        <f>C29/C40</f>
        <v/>
      </c>
    </row>
    <row r="47" ht="15" customHeight="1" s="13">
      <c r="B47" s="23" t="inlineStr">
        <is>
          <t>η²_B =</t>
        </is>
      </c>
      <c r="C47" s="22">
        <f>C30/C40</f>
        <v/>
      </c>
    </row>
    <row r="48" ht="15" customHeight="1" s="13">
      <c r="B48" s="23" t="inlineStr">
        <is>
          <t>η²_AB =</t>
        </is>
      </c>
      <c r="C48" s="22">
        <f>C31/C40</f>
        <v/>
      </c>
    </row>
    <row r="50" ht="15" customHeight="1" s="13">
      <c r="B50" s="15" t="inlineStr">
        <is>
          <t>Step 7: Conclusion</t>
        </is>
      </c>
    </row>
    <row r="51" ht="60" customHeight="1" s="13">
      <c r="B51" s="16" t="inlineStr">
        <is>
          <t>Both exercise type and diet type have significant effects on weight loss. Cardio produces more weight loss than weights, and low-carb diet produces more weight loss than standard. Check the interaction F-value to determine if the diet effect depends on exercise type.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82"/>
  <sheetViews>
    <sheetView workbookViewId="0">
      <selection activeCell="A1" sqref="A1"/>
    </sheetView>
  </sheetViews>
  <sheetFormatPr baseColWidth="8" defaultRowHeight="15"/>
  <cols>
    <col width="4" customWidth="1" style="13" min="1" max="1"/>
    <col width="42" customWidth="1" style="13" min="2" max="2"/>
    <col width="18" customWidth="1" style="13" min="3" max="3"/>
    <col width="18" customWidth="1" style="13" min="4" max="4"/>
    <col width="18" customWidth="1" style="13" min="5" max="5"/>
    <col width="18" customWidth="1" style="13" min="6" max="6"/>
  </cols>
  <sheetData>
    <row r="1">
      <c r="B1" s="25" t="inlineStr">
        <is>
          <t>Worked Example (Formulas): Exercise and Diet on Weight Loss</t>
        </is>
      </c>
    </row>
    <row r="3">
      <c r="B3" s="26" t="inlineStr">
        <is>
          <t>Parameters</t>
        </is>
      </c>
    </row>
    <row r="4">
      <c r="B4" s="27" t="inlineStr">
        <is>
          <t>Significance Level (α)</t>
        </is>
      </c>
      <c r="C4" s="28" t="n">
        <v>0.05</v>
      </c>
    </row>
    <row r="6">
      <c r="B6" s="26" t="inlineStr">
        <is>
          <t>Problem:</t>
        </is>
      </c>
    </row>
    <row r="7" ht="48" customHeight="1" s="13">
      <c r="B7" s="29" t="inlineStr">
        <is>
          <t>A researcher studies the effect of exercise type (Cardio vs Weights) and diet (Low-Carb vs Standard) on weight loss (kg) over 8 weeks. 4 participants per cell (balanced). Test all three effects at α = 0.05.</t>
        </is>
      </c>
    </row>
    <row r="9">
      <c r="B9" s="26" t="inlineStr">
        <is>
          <t>Step 1: Data (Weight Loss in kg)</t>
        </is>
      </c>
    </row>
    <row r="10">
      <c r="C10" s="30" t="inlineStr">
        <is>
          <t>Low-Carb</t>
        </is>
      </c>
      <c r="D10" s="30" t="inlineStr">
        <is>
          <t>Standard</t>
        </is>
      </c>
    </row>
    <row r="11">
      <c r="B11" s="27" t="inlineStr">
        <is>
          <t>Cardio</t>
        </is>
      </c>
    </row>
    <row r="12">
      <c r="B12" s="31" t="inlineStr">
        <is>
          <t>P1</t>
        </is>
      </c>
      <c r="C12" s="32" t="n">
        <v>5.2</v>
      </c>
      <c r="D12" s="32" t="n">
        <v>3.5</v>
      </c>
    </row>
    <row r="13">
      <c r="B13" s="31" t="inlineStr">
        <is>
          <t>P2</t>
        </is>
      </c>
      <c r="C13" s="32" t="n">
        <v>6.1</v>
      </c>
      <c r="D13" s="32" t="n">
        <v>4</v>
      </c>
    </row>
    <row r="14">
      <c r="B14" s="31" t="inlineStr">
        <is>
          <t>P3</t>
        </is>
      </c>
      <c r="C14" s="32" t="n">
        <v>5.8</v>
      </c>
      <c r="D14" s="32" t="n">
        <v>3.8</v>
      </c>
    </row>
    <row r="15">
      <c r="B15" s="31" t="inlineStr">
        <is>
          <t>P4</t>
        </is>
      </c>
      <c r="C15" s="32" t="n">
        <v>6.5</v>
      </c>
      <c r="D15" s="32" t="n">
        <v>4.2</v>
      </c>
    </row>
    <row r="16">
      <c r="B16" s="27" t="inlineStr">
        <is>
          <t>Weights</t>
        </is>
      </c>
    </row>
    <row r="17">
      <c r="B17" s="31" t="inlineStr">
        <is>
          <t>P1</t>
        </is>
      </c>
      <c r="C17" s="32" t="n">
        <v>4</v>
      </c>
      <c r="D17" s="32" t="n">
        <v>2.5</v>
      </c>
    </row>
    <row r="18">
      <c r="B18" s="31" t="inlineStr">
        <is>
          <t>P2</t>
        </is>
      </c>
      <c r="C18" s="32" t="n">
        <v>4.5</v>
      </c>
      <c r="D18" s="32" t="n">
        <v>3</v>
      </c>
    </row>
    <row r="19">
      <c r="B19" s="31" t="inlineStr">
        <is>
          <t>P3</t>
        </is>
      </c>
      <c r="C19" s="32" t="n">
        <v>4.2</v>
      </c>
      <c r="D19" s="32" t="n">
        <v>2.8</v>
      </c>
    </row>
    <row r="20">
      <c r="B20" s="31" t="inlineStr">
        <is>
          <t>P4</t>
        </is>
      </c>
      <c r="C20" s="32" t="n">
        <v>4.8</v>
      </c>
      <c r="D20" s="32" t="n">
        <v>3.2</v>
      </c>
    </row>
    <row r="22">
      <c r="B22" s="26" t="inlineStr">
        <is>
          <t>Design Parameters</t>
        </is>
      </c>
    </row>
    <row r="23">
      <c r="B23" s="27" t="inlineStr">
        <is>
          <t>n (per cell) =</t>
        </is>
      </c>
      <c r="C23" s="32">
        <f>COUNT(C12:C15)</f>
        <v/>
      </c>
    </row>
    <row r="24">
      <c r="B24" s="27" t="inlineStr">
        <is>
          <t>a (levels of Exercise) =</t>
        </is>
      </c>
      <c r="C24" s="32" t="n">
        <v>2</v>
      </c>
    </row>
    <row r="25">
      <c r="B25" s="27" t="inlineStr">
        <is>
          <t>b (levels of Diet) =</t>
        </is>
      </c>
      <c r="C25" s="32" t="n">
        <v>2</v>
      </c>
    </row>
    <row r="26">
      <c r="B26" s="27" t="inlineStr">
        <is>
          <t>N (total) =</t>
        </is>
      </c>
      <c r="C26" s="32">
        <f>C23*C24*C25</f>
        <v/>
      </c>
    </row>
    <row r="28">
      <c r="B28" s="26" t="inlineStr">
        <is>
          <t>Step 2: Cell Means and Marginal Means</t>
        </is>
      </c>
    </row>
    <row r="29">
      <c r="C29" s="30" t="inlineStr">
        <is>
          <t>Low-Carb</t>
        </is>
      </c>
      <c r="D29" s="30" t="inlineStr">
        <is>
          <t>Standard</t>
        </is>
      </c>
      <c r="E29" s="30" t="inlineStr">
        <is>
          <t>Row Mean</t>
        </is>
      </c>
    </row>
    <row r="30">
      <c r="B30" s="31" t="inlineStr">
        <is>
          <t>Cardio</t>
        </is>
      </c>
      <c r="C30" s="32">
        <f>AVERAGE(C12:C15)</f>
        <v/>
      </c>
      <c r="D30" s="32">
        <f>AVERAGE(D12:D15)</f>
        <v/>
      </c>
      <c r="E30" s="32">
        <f>AVERAGE(C30,D30)</f>
        <v/>
      </c>
    </row>
    <row r="31">
      <c r="B31" s="31" t="inlineStr">
        <is>
          <t>Weights</t>
        </is>
      </c>
      <c r="C31" s="32">
        <f>AVERAGE(C17:C20)</f>
        <v/>
      </c>
      <c r="D31" s="32">
        <f>AVERAGE(D17:D20)</f>
        <v/>
      </c>
      <c r="E31" s="32">
        <f>AVERAGE(C31,D31)</f>
        <v/>
      </c>
    </row>
    <row r="32">
      <c r="B32" s="33" t="inlineStr">
        <is>
          <t>Col Mean</t>
        </is>
      </c>
      <c r="C32" s="34">
        <f>AVERAGE(C30,C31)</f>
        <v/>
      </c>
      <c r="D32" s="34">
        <f>AVERAGE(D30,D31)</f>
        <v/>
      </c>
      <c r="E32" s="34">
        <f>AVERAGE(C32,D32)</f>
        <v/>
      </c>
    </row>
    <row r="34">
      <c r="B34" s="26" t="inlineStr">
        <is>
          <t>Step 3: Compute Sums of Squares</t>
        </is>
      </c>
    </row>
    <row r="35">
      <c r="B35" s="27" t="inlineStr">
        <is>
          <t>SS_A (Exercise) =</t>
        </is>
      </c>
      <c r="C35" s="32">
        <f>C25*C23*(E30-E32)^2+C25*C23*(E31-E32)^2</f>
        <v/>
      </c>
    </row>
    <row r="36">
      <c r="B36" s="27" t="inlineStr">
        <is>
          <t>SS_B (Diet) =</t>
        </is>
      </c>
      <c r="C36" s="32">
        <f>C24*C23*(C32-E32)^2+C24*C23*(D32-E32)^2</f>
        <v/>
      </c>
    </row>
    <row r="37">
      <c r="B37" s="27" t="inlineStr">
        <is>
          <t>SS_AB (Interaction) =</t>
        </is>
      </c>
      <c r="C37" s="32">
        <f>C23*((C30-E30-C32+E32)^2+(D30-E30-D32+E32)^2+(C31-E31-C32+E32)^2+(D31-E31-D32+E32)^2)</f>
        <v/>
      </c>
    </row>
    <row r="38">
      <c r="B38" s="27" t="inlineStr">
        <is>
          <t>SS_Error =</t>
        </is>
      </c>
      <c r="C38" s="32">
        <f>SUMPRODUCT((C12:C15-C30)^2)+SUMPRODUCT((D12:D15-D30)^2)+SUMPRODUCT((C17:C20-C31)^2)+SUMPRODUCT((D17:D20-D31)^2)</f>
        <v/>
      </c>
    </row>
    <row r="40">
      <c r="B40" s="26" t="inlineStr">
        <is>
          <t>Step 4: ANOVA Table</t>
        </is>
      </c>
    </row>
    <row r="41">
      <c r="B41" s="30" t="inlineStr">
        <is>
          <t>Source</t>
        </is>
      </c>
      <c r="C41" s="30" t="inlineStr">
        <is>
          <t>SS</t>
        </is>
      </c>
      <c r="D41" s="30" t="inlineStr">
        <is>
          <t>df</t>
        </is>
      </c>
      <c r="E41" s="30" t="inlineStr">
        <is>
          <t>MS</t>
        </is>
      </c>
      <c r="F41" s="30" t="inlineStr">
        <is>
          <t>F</t>
        </is>
      </c>
    </row>
    <row r="42">
      <c r="B42" s="31" t="inlineStr">
        <is>
          <t>Exercise (A)</t>
        </is>
      </c>
      <c r="C42" s="32">
        <f>C35</f>
        <v/>
      </c>
      <c r="D42" s="32">
        <f>C24-1</f>
        <v/>
      </c>
      <c r="E42" s="32">
        <f>C42/D42</f>
        <v/>
      </c>
      <c r="F42" s="32">
        <f>E42/E45</f>
        <v/>
      </c>
    </row>
    <row r="43">
      <c r="B43" s="31" t="inlineStr">
        <is>
          <t>Diet (B)</t>
        </is>
      </c>
      <c r="C43" s="32">
        <f>C36</f>
        <v/>
      </c>
      <c r="D43" s="32">
        <f>C25-1</f>
        <v/>
      </c>
      <c r="E43" s="32">
        <f>C43/D43</f>
        <v/>
      </c>
      <c r="F43" s="32">
        <f>E43/E45</f>
        <v/>
      </c>
    </row>
    <row r="44">
      <c r="B44" s="31" t="inlineStr">
        <is>
          <t>A × B</t>
        </is>
      </c>
      <c r="C44" s="32">
        <f>C37</f>
        <v/>
      </c>
      <c r="D44" s="32">
        <f>(C24-1)*(C25-1)</f>
        <v/>
      </c>
      <c r="E44" s="32">
        <f>C44/D44</f>
        <v/>
      </c>
      <c r="F44" s="32">
        <f>E44/E45</f>
        <v/>
      </c>
    </row>
    <row r="45">
      <c r="B45" s="31" t="inlineStr">
        <is>
          <t>Error</t>
        </is>
      </c>
      <c r="C45" s="32">
        <f>C38</f>
        <v/>
      </c>
      <c r="D45" s="32">
        <f>C24*C25*(C23-1)</f>
        <v/>
      </c>
      <c r="E45" s="32">
        <f>C45/D45</f>
        <v/>
      </c>
    </row>
    <row r="46">
      <c r="B46" s="33" t="inlineStr">
        <is>
          <t>Total</t>
        </is>
      </c>
      <c r="C46" s="34">
        <f>C42+C43+C44+C45</f>
        <v/>
      </c>
      <c r="D46" s="34">
        <f>C26-1</f>
        <v/>
      </c>
    </row>
    <row r="48">
      <c r="B48" s="26" t="inlineStr">
        <is>
          <t>Step 5: Critical Values, P-Values, and Decisions</t>
        </is>
      </c>
    </row>
    <row r="50">
      <c r="B50" s="27" t="inlineStr">
        <is>
          <t>--- Exercise (A) ---</t>
        </is>
      </c>
    </row>
    <row r="51">
      <c r="B51" s="27" t="inlineStr">
        <is>
          <t>F_critical (Exercise (A)):</t>
        </is>
      </c>
      <c r="C51" s="35">
        <f>F.INV.RT($C$4,D42,D45)</f>
        <v/>
      </c>
    </row>
    <row r="52">
      <c r="B52" s="27" t="inlineStr">
        <is>
          <t>p-value (Exercise (A)):</t>
        </is>
      </c>
      <c r="C52" s="35">
        <f>F.DIST.RT(F42,D42,D45)</f>
        <v/>
      </c>
    </row>
    <row r="53">
      <c r="B53" s="27" t="inlineStr">
        <is>
          <t>Decision (Exercise (A)):</t>
        </is>
      </c>
      <c r="C53" s="35">
        <f>IF(C52&lt;$C$4,"Reject H₀","Fail to Reject H₀")</f>
        <v/>
      </c>
    </row>
    <row r="55">
      <c r="B55" s="27" t="inlineStr">
        <is>
          <t>--- Diet (B) ---</t>
        </is>
      </c>
    </row>
    <row r="56">
      <c r="B56" s="27" t="inlineStr">
        <is>
          <t>F_critical (Diet (B)):</t>
        </is>
      </c>
      <c r="C56" s="35">
        <f>F.INV.RT($C$4,D43,D45)</f>
        <v/>
      </c>
    </row>
    <row r="57">
      <c r="B57" s="27" t="inlineStr">
        <is>
          <t>p-value (Diet (B)):</t>
        </is>
      </c>
      <c r="C57" s="35">
        <f>F.DIST.RT(F43,D43,D45)</f>
        <v/>
      </c>
    </row>
    <row r="58">
      <c r="B58" s="27" t="inlineStr">
        <is>
          <t>Decision (Diet (B)):</t>
        </is>
      </c>
      <c r="C58" s="35">
        <f>IF(C57&lt;$C$4,"Reject H₀","Fail to Reject H₀")</f>
        <v/>
      </c>
    </row>
    <row r="60">
      <c r="B60" s="27" t="inlineStr">
        <is>
          <t>--- Interaction (A×B) ---</t>
        </is>
      </c>
    </row>
    <row r="61">
      <c r="B61" s="27" t="inlineStr">
        <is>
          <t>F_critical (Interaction (A×B)):</t>
        </is>
      </c>
      <c r="C61" s="35">
        <f>F.INV.RT($C$4,D44,D45)</f>
        <v/>
      </c>
    </row>
    <row r="62">
      <c r="B62" s="27" t="inlineStr">
        <is>
          <t>p-value (Interaction (A×B)):</t>
        </is>
      </c>
      <c r="C62" s="35">
        <f>F.DIST.RT(F44,D44,D45)</f>
        <v/>
      </c>
    </row>
    <row r="63">
      <c r="B63" s="27" t="inlineStr">
        <is>
          <t>Decision (Interaction (A×B)):</t>
        </is>
      </c>
      <c r="C63" s="35">
        <f>IF(C62&lt;$C$4,"Reject H₀","Fail to Reject H₀")</f>
        <v/>
      </c>
    </row>
    <row r="65">
      <c r="B65" s="26" t="inlineStr">
        <is>
          <t>Step 6: Effect Sizes</t>
        </is>
      </c>
    </row>
    <row r="66">
      <c r="B66" s="27" t="inlineStr">
        <is>
          <t>η²_A (Exercise) =</t>
        </is>
      </c>
      <c r="C66" s="35">
        <f>C42/C46</f>
        <v/>
      </c>
    </row>
    <row r="67">
      <c r="B67" s="27" t="inlineStr">
        <is>
          <t>η²_B (Diet) =</t>
        </is>
      </c>
      <c r="C67" s="35">
        <f>C43/C46</f>
        <v/>
      </c>
    </row>
    <row r="68">
      <c r="B68" s="27" t="inlineStr">
        <is>
          <t>η²_AB (Interaction) =</t>
        </is>
      </c>
      <c r="C68" s="35">
        <f>C44/C46</f>
        <v/>
      </c>
    </row>
    <row r="70">
      <c r="B70" s="26" t="inlineStr">
        <is>
          <t>Step 7: Conclusion</t>
        </is>
      </c>
    </row>
    <row r="71" ht="64" customHeight="1" s="13">
      <c r="B71" s="29" t="inlineStr">
        <is>
          <t>Both exercise type and diet type have significant effects on weight loss. Cardio produces more weight loss than weights, and low-carb diet produces more weight loss than standard. Check the interaction F-value to determine if the diet effect depends on exercise type.</t>
        </is>
      </c>
    </row>
    <row r="75">
      <c r="B75" s="26" t="inlineStr">
        <is>
          <t>Excel Functions Used in This Example</t>
        </is>
      </c>
    </row>
    <row r="76">
      <c r="B76" s="30" t="inlineStr">
        <is>
          <t>Function</t>
        </is>
      </c>
      <c r="C76" s="30" t="inlineStr">
        <is>
          <t>What It Does</t>
        </is>
      </c>
      <c r="D76" s="30" t="inlineStr">
        <is>
          <t>Example</t>
        </is>
      </c>
    </row>
    <row r="77" ht="32" customHeight="1" s="13">
      <c r="B77" s="36">
        <f>F.INV.RT(α, df1, df2)</f>
        <v/>
      </c>
      <c r="C77" s="36" t="inlineStr">
        <is>
          <t>Returns the critical value for a right-tailed F test</t>
        </is>
      </c>
      <c r="D77" s="36">
        <f>F.INV.RT(0.05, 1, 12) → 4.747</f>
        <v/>
      </c>
    </row>
    <row r="78" ht="32" customHeight="1" s="13">
      <c r="B78" s="36">
        <f>F.DIST.RT(F, df1, df2)</f>
        <v/>
      </c>
      <c r="C78" s="36" t="inlineStr">
        <is>
          <t>Returns the p-value (right-tail area) for an F statistic</t>
        </is>
      </c>
      <c r="D78" s="36">
        <f>F.DIST.RT(F_A, 1, 12) → p-value</f>
        <v/>
      </c>
    </row>
    <row r="79" ht="32" customHeight="1" s="13">
      <c r="B79" s="36">
        <f>AVERAGE(range)</f>
        <v/>
      </c>
      <c r="C79" s="36" t="inlineStr">
        <is>
          <t>Returns the arithmetic mean of a range</t>
        </is>
      </c>
      <c r="D79" s="36">
        <f>AVERAGE(C10:C13) → cell mean</f>
        <v/>
      </c>
    </row>
    <row r="80" ht="32" customHeight="1" s="13">
      <c r="B80" s="36">
        <f>SUMPRODUCT((range-mean)^2)</f>
        <v/>
      </c>
      <c r="C80" s="36" t="inlineStr">
        <is>
          <t>Sum of squared deviations from the mean</t>
        </is>
      </c>
      <c r="D80" s="36">
        <f>SUMPRODUCT((C10:C13-C22)^2) → SS</f>
        <v/>
      </c>
    </row>
    <row r="81" ht="32" customHeight="1" s="13">
      <c r="B81" s="36">
        <f>COUNT(range)</f>
        <v/>
      </c>
      <c r="C81" s="36" t="inlineStr">
        <is>
          <t>Counts the number of numeric values in a range</t>
        </is>
      </c>
      <c r="D81" s="36">
        <f>COUNT(C10:C13) → 4</f>
        <v/>
      </c>
    </row>
    <row r="82" ht="32" customHeight="1" s="13">
      <c r="B82" s="36">
        <f>IF(test, true, false)</f>
        <v/>
      </c>
      <c r="C82" s="36" t="inlineStr">
        <is>
          <t>Returns one value if TRUE, another if FALSE</t>
        </is>
      </c>
      <c r="D82" s="36">
        <f>IF(p&lt;α, "Reject H₀", "Fail to Reject H₀")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2026-03-09T09:09:47Z</dcterms:created>
  <dcterms:modified xmlns:dcterms="http://purl.org/dc/terms/" xmlns:xsi="http://www.w3.org/2001/XMLSchema-instance" xsi:type="dcterms:W3CDTF">2026-03-09T10:51:20Z</dcterms:modified>
  <cp:revision>0</cp:revision>
</cp:coreProperties>
</file>