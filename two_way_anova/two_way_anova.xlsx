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Worked Exampl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<sst xmlns="http://schemas.openxmlformats.org/spreadsheetml/2006/main" count="69" uniqueCount="61">
  <si>
    <t xml:space="preserve">Two-Way ANOVA</t>
  </si>
  <si>
    <t xml:space="preserve">Definition</t>
  </si>
  <si>
    <t xml:space="preserve">Two-way ANOVA tests the effects of two categorical factors (Factor A and Factor B) on a continuous outcome variable. It simultaneously tests:
  1. The main effect of Factor A
  2. The main effect of Factor B
  3. The interaction effect of A × B
'Two-way' means there are two independent variables (factors).</t>
  </si>
  <si>
    <t xml:space="preserve">Hypotheses</t>
  </si>
  <si>
    <t xml:space="preserve">Three separate hypothesis tests are conducted:
Main Effect A:
  H₀: All levels of Factor A have equal means (μ_A1 = μ_A2 = ...)
  H₁: At least one level of Factor A has a different mean
Main Effect B:
  H₀: All levels of Factor B have equal means (μ_B1 = μ_B2 = ...)
  H₁: At least one level of Factor B has a different mean
Interaction A × B:
  H₀: There is no interaction between Factor A and Factor B
  H₁: There is an interaction (the effect of one factor depends on the level of the other)</t>
  </si>
  <si>
    <t xml:space="preserve">Understanding Interaction</t>
  </si>
  <si>
    <t xml:space="preserve">An interaction exists when the effect of one factor changes depending on the level of the other factor.
Example: A drug might improve health for young patients but not old patients. Here, the effect of the drug (Factor A) depends on age group (Factor B).
Visually: If you plot the cell means with Factor B on the x-axis and separate lines for each level of Factor A, parallel lines suggest NO interaction. Non-parallel (crossing or diverging) lines suggest an interaction.</t>
  </si>
  <si>
    <t xml:space="preserve">Two-Way ANOVA Table</t>
  </si>
  <si>
    <t xml:space="preserve">Source       | SS      | df          | MS        | F
─────────────|─────────|─────────────|───────────|──────────
Factor A     | SS_A    | a − 1       | SS_A/df_A | MS_A/MS_E
Factor B     | SS_B    | b − 1       | SS_B/df_B | MS_B/MS_E
Interaction  | SS_AB   | (a−1)(b−1)  | SS_AB/df  | MS_AB/MS_E
Error        | SS_E    | N − ab      | SS_E/df_E |
Total        | SS_T    | N − 1       |           |</t>
  </si>
  <si>
    <t xml:space="preserve">Formulas</t>
  </si>
  <si>
    <t xml:space="preserve">a = number of levels of Factor A
b = number of levels of Factor B
n = number of observations per cell (balanced design)
N = total observations = a × b × n
SS_A = b·n · Σ (x̄_Ai − x̄)²
SS_B = a·n · Σ (x̄_Bj − x̄)²
SS_AB = n · Σ Σ (x̄_ij − x̄_Ai − x̄_Bj + x̄)²
SS_E = Σ Σ Σ (x_ijk − x̄_ij)²
SS_T = Σ Σ Σ (x_ijk − x̄)² = SS_A + SS_B + SS_AB + SS_E</t>
  </si>
  <si>
    <t xml:space="preserve">Decision Rules</t>
  </si>
  <si>
    <t xml:space="preserve">For each of the three F-tests:
  Reject H₀ if F_calc &gt; F_critical
  Or reject H₀ if p-value &lt; α
F_A = MS_A / MS_E   with df = (a−1, N−ab)
F_B = MS_B / MS_E   with df = (b−1, N−ab)
F_AB = MS_AB / MS_E with df = ((a−1)(b−1), N−ab)</t>
  </si>
  <si>
    <t xml:space="preserve">Assumptions</t>
  </si>
  <si>
    <t xml:space="preserve">1. Independence: Observations are independent.
2. Normality: The outcome variable is approximately normal within each cell (combination of factor levels).
3. Equal Variances: The variance of the outcome is equal across all cells.
4. Balanced design is preferred (equal n in each cell), though unbalanced designs can be analyzed.</t>
  </si>
  <si>
    <t xml:space="preserve">Effect Size</t>
  </si>
  <si>
    <t xml:space="preserve">η²_A = SS_A / SS_total  (proportion of variance explained by Factor A)
η²_B = SS_B / SS_total  (proportion of variance explained by Factor B)
η²_AB = SS_AB / SS_total (proportion explained by the interaction)
Interpretation: same scale as one-way ANOVA (0.01=small, 0.06=medium, 0.14=large)</t>
  </si>
  <si>
    <t xml:space="preserve">Interpretation Strategy</t>
  </si>
  <si>
    <t xml:space="preserve">1. Check the interaction first. If significant, the main effects must be interpreted cautiously — the effect of one factor depends on the other.
2. If no interaction, interpret main effects independently.
3. Use interaction plots (profile plots) to visualize patterns.
4. Post-hoc tests may be needed for factors with more than 2 levels.</t>
  </si>
  <si>
    <t xml:space="preserve">Notation Summary</t>
  </si>
  <si>
    <t xml:space="preserve">a = levels of Factor A
b = levels of Factor B
n = observations per cell
N = total sample size = a·b·n
x̄_Ai = marginal mean for level i of Factor A
x̄_Bj = marginal mean for level j of Factor B
x̄_ij = cell mean for level i of A and level j of B
x̄ = grand mean
SS = sum of squares
MS = mean square = SS / df
η² = eta-squared (effect size)</t>
  </si>
  <si>
    <t xml:space="preserve">Worked Example: Exercise and Diet on Weight Loss</t>
  </si>
  <si>
    <t xml:space="preserve">Problem:</t>
  </si>
  <si>
    <t xml:space="preserve">A researcher studies the effect of exercise type (Cardio vs Weights) and diet (Low-Carb vs Standard) on weight loss (kg) over 8 weeks. 4 participants per cell (balanced). Test all three effects at α = 0.05.</t>
  </si>
  <si>
    <t xml:space="preserve">Step 1: Data (Weight Loss in kg)</t>
  </si>
  <si>
    <t xml:space="preserve">Low-Carb</t>
  </si>
  <si>
    <t xml:space="preserve">Standard</t>
  </si>
  <si>
    <t xml:space="preserve">Cardio</t>
  </si>
  <si>
    <t xml:space="preserve">P1</t>
  </si>
  <si>
    <t xml:space="preserve">P2</t>
  </si>
  <si>
    <t xml:space="preserve">P3</t>
  </si>
  <si>
    <t xml:space="preserve">P4</t>
  </si>
  <si>
    <t xml:space="preserve">Weights</t>
  </si>
  <si>
    <t xml:space="preserve">Step 2: Cell Means and Marginal Means</t>
  </si>
  <si>
    <t xml:space="preserve">Row Mean</t>
  </si>
  <si>
    <t xml:space="preserve">Col Mean</t>
  </si>
  <si>
    <t xml:space="preserve">Step 3: Compute Sums of Squares</t>
  </si>
  <si>
    <t xml:space="preserve">n=4 per cell, a=2 (exercise), b=2 (diet), N=16</t>
  </si>
  <si>
    <t xml:space="preserve">SS_A (Exercise) =</t>
  </si>
  <si>
    <t xml:space="preserve">SS_B (Diet) =</t>
  </si>
  <si>
    <t xml:space="preserve">SS_AB (Interaction) =</t>
  </si>
  <si>
    <t xml:space="preserve">SS_Error =</t>
  </si>
  <si>
    <t xml:space="preserve">Step 4: ANOVA Table</t>
  </si>
  <si>
    <t xml:space="preserve">Source</t>
  </si>
  <si>
    <t xml:space="preserve">SS</t>
  </si>
  <si>
    <t xml:space="preserve">df</t>
  </si>
  <si>
    <t xml:space="preserve">MS</t>
  </si>
  <si>
    <t xml:space="preserve">F</t>
  </si>
  <si>
    <t xml:space="preserve">Exercise (A)</t>
  </si>
  <si>
    <t xml:space="preserve">Diet (B)</t>
  </si>
  <si>
    <t xml:space="preserve">A × B</t>
  </si>
  <si>
    <t xml:space="preserve">Error</t>
  </si>
  <si>
    <t xml:space="preserve">Total</t>
  </si>
  <si>
    <t xml:space="preserve">Step 5: Decisions (F_critical(0.05, 1, 12) = 4.747)</t>
  </si>
  <si>
    <t xml:space="preserve">F_A: Compare F36 cell → if &gt; 4.747, reject H₀_A
F_B: Compare F37 cell → if &gt; 4.747, reject H₀_B
F_AB: Compare F38 cell → if &gt; 4.747, reject H₀_AB</t>
  </si>
  <si>
    <t xml:space="preserve">Step 6: Effect Sizes</t>
  </si>
  <si>
    <t xml:space="preserve">η²_A =</t>
  </si>
  <si>
    <t xml:space="preserve">η²_B =</t>
  </si>
  <si>
    <t xml:space="preserve">η²_AB =</t>
  </si>
  <si>
    <t xml:space="preserve">Step 7: Conclusion</t>
  </si>
  <si>
    <t xml:space="preserve">Both exercise type and diet type have significant effects on weight loss. Cardio produces more weight loss than weights, and low-carb diet produces more weight loss than standard. Check the interaction F-value to determine if the diet effect depends on exercise type.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</si>
</sst>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496"/>
      <name val="Arial"/>
      <family val="0"/>
      <charset val="1"/>
    </font>
    <font>
      <b val="true"/>
      <sz val="11"/>
      <color rgb="FF2F549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E4F0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5"/>
    <col collapsed="false" customWidth="true" hidden="false" outlineLevel="0" max="3" min="3" style="0" width="3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96" hidden="false" customHeight="true" outlineLevel="0" collapsed="false">
      <c r="B4" s="3" t="s">
        <v>2</v>
      </c>
    </row>
    <row r="6" customFormat="false" ht="15" hidden="false" customHeight="false" outlineLevel="0" collapsed="false">
      <c r="B6" s="2" t="s">
        <v>3</v>
      </c>
    </row>
    <row r="7" customFormat="false" ht="207.75" hidden="false" customHeight="tru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79.5" hidden="false" customHeight="true" outlineLevel="0" collapsed="false">
      <c r="B10" s="3" t="s">
        <v>6</v>
      </c>
    </row>
    <row r="12" customFormat="false" ht="15" hidden="false" customHeight="false" outlineLevel="0" collapsed="false">
      <c r="B12" s="2" t="s">
        <v>7</v>
      </c>
    </row>
    <row r="13" customFormat="false" ht="111.75" hidden="false" customHeight="true" outlineLevel="0" collapsed="false">
      <c r="B13" s="3" t="s">
        <v>8</v>
      </c>
    </row>
    <row r="15" customFormat="false" ht="15" hidden="false" customHeight="false" outlineLevel="0" collapsed="false">
      <c r="B15" s="2" t="s">
        <v>9</v>
      </c>
    </row>
    <row r="16" customFormat="false" ht="159.75" hidden="false" customHeight="true" outlineLevel="0" collapsed="false">
      <c r="B16" s="3" t="s">
        <v>10</v>
      </c>
    </row>
    <row r="18" customFormat="false" ht="15" hidden="false" customHeight="false" outlineLevel="0" collapsed="false">
      <c r="B18" s="2" t="s">
        <v>11</v>
      </c>
    </row>
    <row r="19" customFormat="false" ht="111.75" hidden="false" customHeight="true" outlineLevel="0" collapsed="false">
      <c r="B19" s="3" t="s">
        <v>12</v>
      </c>
    </row>
    <row r="21" customFormat="false" ht="15" hidden="false" customHeight="false" outlineLevel="0" collapsed="false">
      <c r="B21" s="2" t="s">
        <v>13</v>
      </c>
    </row>
    <row r="22" customFormat="false" ht="63.75" hidden="false" customHeight="true" outlineLevel="0" collapsed="false">
      <c r="B22" s="3" t="s">
        <v>14</v>
      </c>
    </row>
    <row r="24" customFormat="false" ht="15" hidden="false" customHeight="false" outlineLevel="0" collapsed="false">
      <c r="B24" s="2" t="s">
        <v>15</v>
      </c>
    </row>
    <row r="25" customFormat="false" ht="79.5" hidden="false" customHeight="true" outlineLevel="0" collapsed="false">
      <c r="B25" s="3" t="s">
        <v>16</v>
      </c>
    </row>
    <row r="27" customFormat="false" ht="15" hidden="false" customHeight="false" outlineLevel="0" collapsed="false">
      <c r="B27" s="2" t="s">
        <v>17</v>
      </c>
    </row>
    <row r="28" customFormat="false" ht="63.75" hidden="false" customHeight="true" outlineLevel="0" collapsed="false">
      <c r="B28" s="3" t="s">
        <v>18</v>
      </c>
    </row>
    <row r="30" customFormat="false" ht="15" hidden="false" customHeight="false" outlineLevel="0" collapsed="false">
      <c r="B30" s="2" t="s">
        <v>19</v>
      </c>
    </row>
    <row r="31" customFormat="false" ht="175.5" hidden="false" customHeight="true" outlineLevel="0" collapsed="false">
      <c r="B31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5" min="3" style="0" width="16"/>
  </cols>
  <sheetData>
    <row r="1" customFormat="false" ht="17.35" hidden="false" customHeight="false" outlineLevel="0" collapsed="false">
      <c r="B1" s="1" t="s">
        <v>21</v>
      </c>
    </row>
    <row r="4" customFormat="false" ht="15" hidden="false" customHeight="false" outlineLevel="0" collapsed="false">
      <c r="B4" s="4" t="s">
        <v>22</v>
      </c>
    </row>
    <row r="5" customFormat="false" ht="30" hidden="false" customHeight="true" outlineLevel="0" collapsed="false">
      <c r="B5" s="3" t="s">
        <v>23</v>
      </c>
    </row>
    <row r="7" customFormat="false" ht="26.85" hidden="false" customHeight="false" outlineLevel="0" collapsed="false">
      <c r="B7" s="2" t="s">
        <v>24</v>
      </c>
    </row>
    <row r="8" customFormat="false" ht="15" hidden="false" customHeight="false" outlineLevel="0" collapsed="false">
      <c r="B8" s="5"/>
      <c r="C8" s="5" t="s">
        <v>25</v>
      </c>
      <c r="D8" s="5" t="s">
        <v>26</v>
      </c>
    </row>
    <row r="9" customFormat="false" ht="15" hidden="false" customHeight="false" outlineLevel="0" collapsed="false">
      <c r="B9" s="6" t="s">
        <v>27</v>
      </c>
    </row>
    <row r="10" customFormat="false" ht="15" hidden="false" customHeight="false" outlineLevel="0" collapsed="false">
      <c r="B10" s="7" t="s">
        <v>28</v>
      </c>
      <c r="C10" s="7" t="n">
        <v>5.2</v>
      </c>
      <c r="D10" s="7" t="n">
        <v>3.5</v>
      </c>
    </row>
    <row r="11" customFormat="false" ht="15" hidden="false" customHeight="false" outlineLevel="0" collapsed="false">
      <c r="B11" s="7" t="s">
        <v>29</v>
      </c>
      <c r="C11" s="7" t="n">
        <v>6.1</v>
      </c>
      <c r="D11" s="7" t="n">
        <v>4</v>
      </c>
    </row>
    <row r="12" customFormat="false" ht="15" hidden="false" customHeight="false" outlineLevel="0" collapsed="false">
      <c r="B12" s="7" t="s">
        <v>30</v>
      </c>
      <c r="C12" s="7" t="n">
        <v>5.8</v>
      </c>
      <c r="D12" s="7" t="n">
        <v>3.8</v>
      </c>
    </row>
    <row r="13" customFormat="false" ht="15" hidden="false" customHeight="false" outlineLevel="0" collapsed="false">
      <c r="B13" s="7" t="s">
        <v>31</v>
      </c>
      <c r="C13" s="7" t="n">
        <v>6.5</v>
      </c>
      <c r="D13" s="7" t="n">
        <v>4.2</v>
      </c>
    </row>
    <row r="14" customFormat="false" ht="15" hidden="false" customHeight="false" outlineLevel="0" collapsed="false">
      <c r="B14" s="6" t="s">
        <v>32</v>
      </c>
    </row>
    <row r="15" customFormat="false" ht="15" hidden="false" customHeight="false" outlineLevel="0" collapsed="false">
      <c r="B15" s="7" t="s">
        <v>28</v>
      </c>
      <c r="C15" s="7" t="n">
        <v>4</v>
      </c>
      <c r="D15" s="7" t="n">
        <v>2.5</v>
      </c>
    </row>
    <row r="16" customFormat="false" ht="15" hidden="false" customHeight="false" outlineLevel="0" collapsed="false">
      <c r="B16" s="7" t="s">
        <v>29</v>
      </c>
      <c r="C16" s="7" t="n">
        <v>4.5</v>
      </c>
      <c r="D16" s="7" t="n">
        <v>3</v>
      </c>
    </row>
    <row r="17" customFormat="false" ht="15" hidden="false" customHeight="false" outlineLevel="0" collapsed="false">
      <c r="B17" s="7" t="s">
        <v>30</v>
      </c>
      <c r="C17" s="7" t="n">
        <v>4.2</v>
      </c>
      <c r="D17" s="7" t="n">
        <v>2.8</v>
      </c>
    </row>
    <row r="18" customFormat="false" ht="15" hidden="false" customHeight="false" outlineLevel="0" collapsed="false">
      <c r="B18" s="7" t="s">
        <v>31</v>
      </c>
      <c r="C18" s="7" t="n">
        <v>4.8</v>
      </c>
      <c r="D18" s="7" t="n">
        <v>3.2</v>
      </c>
    </row>
    <row r="20" customFormat="false" ht="26.85" hidden="false" customHeight="false" outlineLevel="0" collapsed="false">
      <c r="B20" s="2" t="s">
        <v>33</v>
      </c>
    </row>
    <row r="21" customFormat="false" ht="15" hidden="false" customHeight="false" outlineLevel="0" collapsed="false">
      <c r="B21" s="5"/>
      <c r="C21" s="5" t="s">
        <v>25</v>
      </c>
      <c r="D21" s="5" t="s">
        <v>26</v>
      </c>
      <c r="E21" s="5" t="s">
        <v>34</v>
      </c>
    </row>
    <row r="22" customFormat="false" ht="15" hidden="false" customHeight="false" outlineLevel="0" collapsed="false">
      <c r="B22" s="7" t="s">
        <v>27</v>
      </c>
      <c r="C22" s="7" t="n">
        <f aca="false">AVERAGE(C10:C13)</f>
        <v>5.9</v>
      </c>
      <c r="D22" s="7" t="n">
        <f aca="false">AVERAGE(D10:D13)</f>
        <v>3.875</v>
      </c>
      <c r="E22" s="7" t="n">
        <f aca="false">AVERAGE(C22,D22)</f>
        <v>4.8875</v>
      </c>
    </row>
    <row r="23" customFormat="false" ht="15" hidden="false" customHeight="false" outlineLevel="0" collapsed="false">
      <c r="B23" s="7" t="s">
        <v>32</v>
      </c>
      <c r="C23" s="7" t="n">
        <f aca="false">AVERAGE(C15:C18)</f>
        <v>4.375</v>
      </c>
      <c r="D23" s="7" t="n">
        <f aca="false">AVERAGE(D15:D18)</f>
        <v>2.875</v>
      </c>
      <c r="E23" s="7" t="n">
        <f aca="false">AVERAGE(C23,D23)</f>
        <v>3.625</v>
      </c>
    </row>
    <row r="24" customFormat="false" ht="15" hidden="false" customHeight="false" outlineLevel="0" collapsed="false">
      <c r="B24" s="8" t="s">
        <v>35</v>
      </c>
      <c r="C24" s="8" t="n">
        <f aca="false">AVERAGE(C22,C23)</f>
        <v>5.1375</v>
      </c>
      <c r="D24" s="8" t="n">
        <f aca="false">AVERAGE(D22,D23)</f>
        <v>3.375</v>
      </c>
      <c r="E24" s="9" t="n">
        <f aca="false">AVERAGE(C24,D24)</f>
        <v>4.25625</v>
      </c>
    </row>
    <row r="26" customFormat="false" ht="26.85" hidden="false" customHeight="false" outlineLevel="0" collapsed="false">
      <c r="B26" s="2" t="s">
        <v>36</v>
      </c>
    </row>
    <row r="27" customFormat="false" ht="30" hidden="false" customHeight="true" outlineLevel="0" collapsed="false">
      <c r="B27" s="3" t="s">
        <v>37</v>
      </c>
    </row>
    <row r="29" customFormat="false" ht="15" hidden="false" customHeight="false" outlineLevel="0" collapsed="false">
      <c r="B29" s="10" t="s">
        <v>38</v>
      </c>
      <c r="C29" s="9" t="n">
        <f aca="false">2*4*(E22-E24)^2+2*4*(E23-E24)^2</f>
        <v>6.375625</v>
      </c>
    </row>
    <row r="30" customFormat="false" ht="15" hidden="false" customHeight="false" outlineLevel="0" collapsed="false">
      <c r="B30" s="10" t="s">
        <v>39</v>
      </c>
      <c r="C30" s="9" t="n">
        <f aca="false">2*4*(C24-E24)^2+2*4*(D24-E24)^2</f>
        <v>12.425625</v>
      </c>
    </row>
    <row r="31" customFormat="false" ht="15" hidden="false" customHeight="false" outlineLevel="0" collapsed="false">
      <c r="B31" s="10" t="s">
        <v>40</v>
      </c>
      <c r="C31" s="9" t="n">
        <f aca="false">4*((C22-E22-C24+E24)^2+(D22-E22-D24+E24)^2+(C23-E23-C24+E24)^2+(D23-E23-D24+E24)^2)</f>
        <v>0.275625</v>
      </c>
    </row>
    <row r="32" customFormat="false" ht="15" hidden="false" customHeight="false" outlineLevel="0" collapsed="false">
      <c r="B32" s="10" t="s">
        <v>41</v>
      </c>
      <c r="C32" s="9" t="n">
        <f aca="false">SUMPRODUCT((C10:C13-C22)^2)+SUMPRODUCT((D10:D13-D22)^2)+SUMPRODUCT((C15:C18-C23)^2)+SUMPRODUCT((D15:D18-D23)^2)</f>
        <v>1.8025</v>
      </c>
    </row>
    <row r="34" customFormat="false" ht="15" hidden="false" customHeight="false" outlineLevel="0" collapsed="false">
      <c r="B34" s="2" t="s">
        <v>42</v>
      </c>
    </row>
    <row r="35" customFormat="false" ht="15" hidden="false" customHeight="false" outlineLevel="0" collapsed="false">
      <c r="B35" s="5" t="s">
        <v>43</v>
      </c>
      <c r="C35" s="5" t="s">
        <v>44</v>
      </c>
      <c r="D35" s="5" t="s">
        <v>45</v>
      </c>
      <c r="E35" s="5" t="s">
        <v>46</v>
      </c>
      <c r="F35" s="5" t="s">
        <v>47</v>
      </c>
    </row>
    <row r="36" customFormat="false" ht="15" hidden="false" customHeight="false" outlineLevel="0" collapsed="false">
      <c r="B36" s="7" t="s">
        <v>48</v>
      </c>
      <c r="C36" s="7" t="n">
        <f aca="false">C29</f>
        <v>6.375625</v>
      </c>
      <c r="D36" s="7" t="n">
        <v>1</v>
      </c>
      <c r="E36" s="7" t="n">
        <f aca="false">C36/D36</f>
        <v>6.375625</v>
      </c>
      <c r="F36" s="11" t="n">
        <f aca="false">E36/E39</f>
        <v>42.4452149791956</v>
      </c>
    </row>
    <row r="37" customFormat="false" ht="15" hidden="false" customHeight="false" outlineLevel="0" collapsed="false">
      <c r="B37" s="7" t="s">
        <v>49</v>
      </c>
      <c r="C37" s="7" t="n">
        <f aca="false">C30</f>
        <v>12.425625</v>
      </c>
      <c r="D37" s="7" t="n">
        <v>1</v>
      </c>
      <c r="E37" s="7" t="n">
        <f aca="false">C37/D37</f>
        <v>12.425625</v>
      </c>
      <c r="F37" s="11" t="n">
        <f aca="false">E37/E39</f>
        <v>82.7226074895978</v>
      </c>
    </row>
    <row r="38" customFormat="false" ht="15" hidden="false" customHeight="false" outlineLevel="0" collapsed="false">
      <c r="B38" s="7" t="s">
        <v>50</v>
      </c>
      <c r="C38" s="7" t="n">
        <f aca="false">C31</f>
        <v>0.275625</v>
      </c>
      <c r="D38" s="7" t="n">
        <v>1</v>
      </c>
      <c r="E38" s="7" t="n">
        <f aca="false">C38/D38</f>
        <v>0.275625</v>
      </c>
      <c r="F38" s="11" t="n">
        <f aca="false">E38/E39</f>
        <v>1.83495145631068</v>
      </c>
    </row>
    <row r="39" customFormat="false" ht="15" hidden="false" customHeight="false" outlineLevel="0" collapsed="false">
      <c r="B39" s="7" t="s">
        <v>51</v>
      </c>
      <c r="C39" s="7" t="n">
        <f aca="false">C32</f>
        <v>1.8025</v>
      </c>
      <c r="D39" s="7" t="n">
        <v>12</v>
      </c>
      <c r="E39" s="7" t="n">
        <f aca="false">C39/D39</f>
        <v>0.150208333333333</v>
      </c>
      <c r="F39" s="7"/>
    </row>
    <row r="40" customFormat="false" ht="15" hidden="false" customHeight="false" outlineLevel="0" collapsed="false">
      <c r="B40" s="7" t="s">
        <v>52</v>
      </c>
      <c r="C40" s="7" t="n">
        <f aca="false">C36+C37+C38+C39</f>
        <v>20.879375</v>
      </c>
      <c r="D40" s="7" t="n">
        <v>15</v>
      </c>
      <c r="E40" s="7"/>
      <c r="F40" s="7"/>
    </row>
    <row r="42" customFormat="false" ht="39.55" hidden="false" customHeight="false" outlineLevel="0" collapsed="false">
      <c r="B42" s="2" t="s">
        <v>53</v>
      </c>
    </row>
    <row r="43" customFormat="false" ht="48" hidden="false" customHeight="true" outlineLevel="0" collapsed="false">
      <c r="B43" s="3" t="s">
        <v>54</v>
      </c>
    </row>
    <row r="45" customFormat="false" ht="15" hidden="false" customHeight="false" outlineLevel="0" collapsed="false">
      <c r="B45" s="2" t="s">
        <v>55</v>
      </c>
    </row>
    <row r="46" customFormat="false" ht="15" hidden="false" customHeight="false" outlineLevel="0" collapsed="false">
      <c r="B46" s="10" t="s">
        <v>56</v>
      </c>
      <c r="C46" s="9" t="n">
        <f aca="false">C29/C40</f>
        <v>0.305355165085162</v>
      </c>
    </row>
    <row r="47" customFormat="false" ht="15" hidden="false" customHeight="false" outlineLevel="0" collapsed="false">
      <c r="B47" s="10" t="s">
        <v>57</v>
      </c>
      <c r="C47" s="9" t="n">
        <f aca="false">C30/C40</f>
        <v>0.595114796300177</v>
      </c>
    </row>
    <row r="48" customFormat="false" ht="15" hidden="false" customHeight="false" outlineLevel="0" collapsed="false">
      <c r="B48" s="10" t="s">
        <v>58</v>
      </c>
      <c r="C48" s="9" t="n">
        <f aca="false">C31/C40</f>
        <v>0.0132008261741551</v>
      </c>
    </row>
    <row r="50" customFormat="false" ht="15" hidden="false" customHeight="false" outlineLevel="0" collapsed="false">
      <c r="B50" s="2" t="s">
        <v>59</v>
      </c>
    </row>
    <row r="51" customFormat="false" ht="60" hidden="false" customHeight="true" outlineLevel="0" collapsed="false">
      <c r="B51" s="3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2026-03-09T09:09:47Z</dcterms:created>
  <dc:creator>openpyxl</dc:creator>
  <dc:description/>
  <dc:language>en-US</dc:language>
  <cp:lastModifiedBy/>
  <dcterms:modified xsi:type="dcterms:W3CDTF">2026-03-09T09:09:47Z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