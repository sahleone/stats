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otes" sheetId="1" state="visible" r:id="rId3"/>
    <sheet name="Worked Example" sheetId="2" state="visible" r:id="rId4"/>
    <sheet name="Practice Question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<sst xmlns="http://schemas.openxmlformats.org/spreadsheetml/2006/main" count="86" uniqueCount="68">
  <si>
    <t xml:space="preserve">Chi-Square Test of Independence</t>
  </si>
  <si>
    <t xml:space="preserve">Definition</t>
  </si>
  <si>
    <t xml:space="preserve">The chi-square test of independence determines whether there is a statistically significant association between two categorical variables. The data are organized in a two-way contingency table (also called a cross-tabulation table).</t>
  </si>
  <si>
    <t xml:space="preserve">When to Use</t>
  </si>
  <si>
    <t xml:space="preserve">Use this test when you have two categorical variables measured on the same subjects and want to test whether the variables are independent (unrelated) or associated (related).</t>
  </si>
  <si>
    <t xml:space="preserve">Hypotheses</t>
  </si>
  <si>
    <t xml:space="preserve">H₀: The two variables are independent (no association).
H₁: The two variables are NOT independent (there is an association).</t>
  </si>
  <si>
    <t xml:space="preserve">Contingency Table</t>
  </si>
  <si>
    <t xml:space="preserve">A contingency table has r rows and c columns.
Each cell contains the count of observations that fall into that combination of categories.
Row totals and column totals are called marginal totals.
The grand total (n) is the sum of all observations.</t>
  </si>
  <si>
    <t xml:space="preserve">Expected Frequencies</t>
  </si>
  <si>
    <t xml:space="preserve">For each cell in the contingency table:
  Eᵢⱼ = (Row i Total × Column j Total) / Grand Total
This formula calculates how many observations we would EXPECT in each cell if the two variables were truly independent.</t>
  </si>
  <si>
    <t xml:space="preserve">Test Statistic</t>
  </si>
  <si>
    <t xml:space="preserve">χ² = Σ Σ (Oᵢⱼ − Eᵢⱼ)² / Eᵢⱼ
where:
  Oᵢⱼ = observed frequency in row i, column j
  Eᵢⱼ = expected frequency in row i, column j
  The double sum goes over all r × c cells.</t>
  </si>
  <si>
    <t xml:space="preserve">Degrees of Freedom</t>
  </si>
  <si>
    <t xml:space="preserve">df = (r − 1)(c − 1)
where r = number of rows and c = number of columns in the contingency table.</t>
  </si>
  <si>
    <t xml:space="preserve">Decision Rule</t>
  </si>
  <si>
    <t xml:space="preserve">Reject H₀ if χ²_calc &gt; χ²_critical at significance level α.
Alternatively, reject H₀ if the p-value &lt; α.</t>
  </si>
  <si>
    <t xml:space="preserve">Assumptions</t>
  </si>
  <si>
    <t xml:space="preserve">1. The data are a random sample from the population.
2. Each observation is independent and falls into exactly one cell.
3. All expected frequencies Eᵢⱼ ≥ 5.
   (If some expected values are &lt; 5, consider Fisher's exact test for 2×2 tables
   or combine categories to increase expected counts.)</t>
  </si>
  <si>
    <t xml:space="preserve">Notation Summary</t>
  </si>
  <si>
    <t xml:space="preserve">χ² = chi-square test statistic
Oᵢⱼ = observed frequency in cell (i, j)
Eᵢⱼ = expected frequency in cell (i, j)
r = number of rows
c = number of columns
df = degrees of freedom
α = significance level
n = grand total (total sample size)</t>
  </si>
  <si>
    <t xml:space="preserve">Worked Example: Gender and Study Preference</t>
  </si>
  <si>
    <t xml:space="preserve">Problem:</t>
  </si>
  <si>
    <t xml:space="preserve">A university researcher surveys 200 students to determine whether there is an association between</t>
  </si>
  <si>
    <t xml:space="preserve">gender (Male / Female) and preferred study method (Alone / Group / Online). Test at α = 0.05.</t>
  </si>
  <si>
    <t xml:space="preserve">Step 1: State the Hypotheses</t>
  </si>
  <si>
    <t xml:space="preserve">H₀: Gender and study preference are independent.</t>
  </si>
  <si>
    <t xml:space="preserve">H₁: Gender and study preference are NOT independent.</t>
  </si>
  <si>
    <t xml:space="preserve">Step 2: Observed Frequencies</t>
  </si>
  <si>
    <t xml:space="preserve">Alone</t>
  </si>
  <si>
    <t xml:space="preserve">Group</t>
  </si>
  <si>
    <t xml:space="preserve">Online</t>
  </si>
  <si>
    <t xml:space="preserve">Row Total</t>
  </si>
  <si>
    <t xml:space="preserve">Male</t>
  </si>
  <si>
    <t xml:space="preserve">Female</t>
  </si>
  <si>
    <t xml:space="preserve">Col Total</t>
  </si>
  <si>
    <t xml:space="preserve">Step 3: Expected Frequencies</t>
  </si>
  <si>
    <t xml:space="preserve">Formula: E = (Row Total × Col Total) / Grand Total</t>
  </si>
  <si>
    <t xml:space="preserve">Step 4: Compute (O − E)² / E for Each Cell</t>
  </si>
  <si>
    <t xml:space="preserve">Step 5: Test Statistic</t>
  </si>
  <si>
    <t xml:space="preserve">χ² = sum of all cells above =</t>
  </si>
  <si>
    <t xml:space="preserve">Step 6: Degrees of Freedom</t>
  </si>
  <si>
    <t xml:space="preserve">df = (r − 1)(c − 1) = (2 − 1)(3 − 1) = 1 × 2 = 2</t>
  </si>
  <si>
    <t xml:space="preserve">Step 7: Critical Value</t>
  </si>
  <si>
    <t xml:space="preserve">At α = 0.05 with df = 2:  χ²_critical = 5.991</t>
  </si>
  <si>
    <t xml:space="preserve">Step 8: Decision</t>
  </si>
  <si>
    <t xml:space="preserve">Compare:  χ²_calc (cell C30) vs χ²_critical = 5.991</t>
  </si>
  <si>
    <t xml:space="preserve">Since χ²_calc &gt; 5.991, we REJECT H₀.</t>
  </si>
  <si>
    <t xml:space="preserve">Step 9: Conclusion</t>
  </si>
  <si>
    <t xml:space="preserve">At the 0.05 significance level, there is sufficient evidence to conclude that gender and study preference are associated. The data suggest that males and females differ in their preferred study methods.</t>
  </si>
  <si>
    <t xml:space="preserve">Practice Questions</t>
  </si>
  <si>
    <t xml:space="preserve">Question 1: Smoking Status and Exercise Level</t>
  </si>
  <si>
    <t xml:space="preserve">A health researcher surveys 300 adults about their smoking status and exercise habits.</t>
  </si>
  <si>
    <t xml:space="preserve">At α = 0.05, test whether smoking status and exercise level are independent.</t>
  </si>
  <si>
    <t xml:space="preserve">Low</t>
  </si>
  <si>
    <t xml:space="preserve">Moderate</t>
  </si>
  <si>
    <t xml:space="preserve">High</t>
  </si>
  <si>
    <t xml:space="preserve">Non-Smoker</t>
  </si>
  <si>
    <t xml:space="preserve">Smoker</t>
  </si>
  <si>
    <t xml:space="preserve">Show all steps: hypotheses, expected frequencies, test statistic, df, critical value,</t>
  </si>
  <si>
    <t xml:space="preserve">decision, and conclusion.</t>
  </si>
  <si>
    <t xml:space="preserve">Question 2: Education Level and Job Satisfaction</t>
  </si>
  <si>
    <t xml:space="preserve">An HR analyst surveys 400 employees about their education level and job satisfaction.</t>
  </si>
  <si>
    <t xml:space="preserve">At α = 0.01, test whether education level and job satisfaction are independent.</t>
  </si>
  <si>
    <t xml:space="preserve">Medium</t>
  </si>
  <si>
    <t xml:space="preserve">High School</t>
  </si>
  <si>
    <t xml:space="preserve">Bachelor's</t>
  </si>
  <si>
    <t xml:space="preserve">Graduate</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</si>
</sst>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2F5496"/>
      <name val="Arial"/>
      <family val="0"/>
      <charset val="1"/>
    </font>
    <font>
      <b val="true"/>
      <sz val="11"/>
      <color rgb="FF2F5496"/>
      <name val="Arial"/>
      <family val="0"/>
      <charset val="1"/>
    </font>
    <font>
      <sz val="11"/>
      <name val="Arial"/>
      <family val="0"/>
      <charset val="1"/>
    </font>
    <font>
      <b val="true"/>
      <sz val="11"/>
      <name val="Arial"/>
      <family val="0"/>
      <charset val="1"/>
    </font>
    <font>
      <b val="true"/>
      <sz val="12"/>
      <color rgb="FFFFFFFF"/>
      <name val="Arial"/>
      <family val="0"/>
      <charset val="1"/>
    </font>
    <font>
      <i val="true"/>
      <sz val="11"/>
      <name val="Arial"/>
      <family val="0"/>
      <charset val="1"/>
    </font>
  </fonts>
  <fills count="6">
    <fill>
      <patternFill patternType="none"/>
    </fill>
    <fill>
      <patternFill patternType="gray125"/>
    </fill>
    <fill>
      <patternFill patternType="solid">
        <fgColor rgb="FF2F5496"/>
        <bgColor rgb="FF666699"/>
      </patternFill>
    </fill>
    <fill>
      <patternFill patternType="solid">
        <fgColor rgb="FFD6E4F0"/>
        <bgColor rgb="FFE2EFDA"/>
      </patternFill>
    </fill>
    <fill>
      <patternFill patternType="solid">
        <fgColor rgb="FFFFF2CC"/>
        <bgColor rgb="FFE2EFDA"/>
      </patternFill>
    </fill>
    <fill>
      <patternFill patternType="solid">
        <fgColor rgb="FFE2EFDA"/>
        <bgColor rgb="FFD6E4F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5" fontId="7"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30"/>
  </cols>
  <sheetData>
    <row r="1" customFormat="false" ht="17.35" hidden="false" customHeight="false" outlineLevel="0" collapsed="false">
      <c r="B1" s="1" t="s">
        <v>0</v>
      </c>
    </row>
    <row r="3" customFormat="false" ht="15" hidden="false" customHeight="false" outlineLevel="0" collapsed="false">
      <c r="B3" s="2" t="s">
        <v>1</v>
      </c>
    </row>
    <row r="4" customFormat="false" ht="30" hidden="false" customHeight="true" outlineLevel="0" collapsed="false">
      <c r="B4" s="3" t="s">
        <v>2</v>
      </c>
    </row>
    <row r="6" customFormat="false" ht="15" hidden="false" customHeight="false" outlineLevel="0" collapsed="false">
      <c r="B6" s="2" t="s">
        <v>3</v>
      </c>
    </row>
    <row r="7" customFormat="false" ht="30" hidden="false" customHeight="true" outlineLevel="0" collapsed="false">
      <c r="B7" s="3" t="s">
        <v>4</v>
      </c>
    </row>
    <row r="9" customFormat="false" ht="15" hidden="false" customHeight="false" outlineLevel="0" collapsed="false">
      <c r="B9" s="2" t="s">
        <v>5</v>
      </c>
    </row>
    <row r="10" customFormat="false" ht="31.5" hidden="false" customHeight="true" outlineLevel="0" collapsed="false">
      <c r="B10" s="3" t="s">
        <v>6</v>
      </c>
    </row>
    <row r="12" customFormat="false" ht="15" hidden="false" customHeight="false" outlineLevel="0" collapsed="false">
      <c r="B12" s="2" t="s">
        <v>7</v>
      </c>
    </row>
    <row r="13" customFormat="false" ht="63.75" hidden="false" customHeight="true" outlineLevel="0" collapsed="false">
      <c r="B13" s="3" t="s">
        <v>8</v>
      </c>
    </row>
    <row r="15" customFormat="false" ht="15" hidden="false" customHeight="false" outlineLevel="0" collapsed="false">
      <c r="B15" s="2" t="s">
        <v>9</v>
      </c>
    </row>
    <row r="16" customFormat="false" ht="79.5" hidden="false" customHeight="true" outlineLevel="0" collapsed="false">
      <c r="B16" s="3" t="s">
        <v>10</v>
      </c>
    </row>
    <row r="18" customFormat="false" ht="15" hidden="false" customHeight="false" outlineLevel="0" collapsed="false">
      <c r="B18" s="2" t="s">
        <v>11</v>
      </c>
    </row>
    <row r="19" customFormat="false" ht="96" hidden="false" customHeight="true" outlineLevel="0" collapsed="false">
      <c r="B19" s="3" t="s">
        <v>12</v>
      </c>
    </row>
    <row r="21" customFormat="false" ht="15" hidden="false" customHeight="false" outlineLevel="0" collapsed="false">
      <c r="B21" s="2" t="s">
        <v>13</v>
      </c>
    </row>
    <row r="22" customFormat="false" ht="48" hidden="false" customHeight="true" outlineLevel="0" collapsed="false">
      <c r="B22" s="3" t="s">
        <v>14</v>
      </c>
    </row>
    <row r="24" customFormat="false" ht="15" hidden="false" customHeight="false" outlineLevel="0" collapsed="false">
      <c r="B24" s="2" t="s">
        <v>15</v>
      </c>
    </row>
    <row r="25" customFormat="false" ht="48" hidden="false" customHeight="true" outlineLevel="0" collapsed="false">
      <c r="B25" s="3" t="s">
        <v>16</v>
      </c>
    </row>
    <row r="27" customFormat="false" ht="15" hidden="false" customHeight="false" outlineLevel="0" collapsed="false">
      <c r="B27" s="2" t="s">
        <v>17</v>
      </c>
    </row>
    <row r="28" customFormat="false" ht="79.5" hidden="false" customHeight="true" outlineLevel="0" collapsed="false">
      <c r="B28" s="3" t="s">
        <v>18</v>
      </c>
    </row>
    <row r="30" customFormat="false" ht="15" hidden="false" customHeight="false" outlineLevel="0" collapsed="false">
      <c r="B30" s="2" t="s">
        <v>19</v>
      </c>
    </row>
    <row r="31" customFormat="false" ht="127.5" hidden="false" customHeight="true" outlineLevel="0" collapsed="false">
      <c r="B31"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5" min="3" style="0" width="16"/>
    <col collapsed="false" customWidth="true" hidden="false" outlineLevel="0" max="6" min="6" style="0" width="18"/>
  </cols>
  <sheetData>
    <row r="1" customFormat="false" ht="17.35" hidden="false" customHeight="false" outlineLevel="0" collapsed="false">
      <c r="B1" s="1" t="s">
        <v>21</v>
      </c>
    </row>
    <row r="4" customFormat="false" ht="15" hidden="false" customHeight="false" outlineLevel="0" collapsed="false">
      <c r="B4" s="4" t="s">
        <v>22</v>
      </c>
    </row>
    <row r="5" customFormat="false" ht="64.9" hidden="false" customHeight="false" outlineLevel="0" collapsed="false">
      <c r="B5" s="3" t="s">
        <v>23</v>
      </c>
    </row>
    <row r="6" customFormat="false" ht="64.9" hidden="false" customHeight="false" outlineLevel="0" collapsed="false">
      <c r="B6" s="3" t="s">
        <v>24</v>
      </c>
    </row>
    <row r="8" customFormat="false" ht="15" hidden="false" customHeight="false" outlineLevel="0" collapsed="false">
      <c r="B8" s="5" t="s">
        <v>25</v>
      </c>
    </row>
    <row r="9" customFormat="false" ht="15" hidden="false" customHeight="false" outlineLevel="0" collapsed="false">
      <c r="B9" s="6" t="s">
        <v>26</v>
      </c>
    </row>
    <row r="10" customFormat="false" ht="15" hidden="false" customHeight="false" outlineLevel="0" collapsed="false">
      <c r="B10" s="6" t="s">
        <v>27</v>
      </c>
    </row>
    <row r="12" customFormat="false" ht="15" hidden="false" customHeight="false" outlineLevel="0" collapsed="false">
      <c r="B12" s="5" t="s">
        <v>28</v>
      </c>
    </row>
    <row r="13" customFormat="false" ht="15" hidden="false" customHeight="false" outlineLevel="0" collapsed="false">
      <c r="B13" s="7"/>
      <c r="C13" s="7" t="s">
        <v>29</v>
      </c>
      <c r="D13" s="7" t="s">
        <v>30</v>
      </c>
      <c r="E13" s="7" t="s">
        <v>31</v>
      </c>
      <c r="F13" s="7" t="s">
        <v>32</v>
      </c>
    </row>
    <row r="14" customFormat="false" ht="15" hidden="false" customHeight="false" outlineLevel="0" collapsed="false">
      <c r="B14" s="8" t="s">
        <v>33</v>
      </c>
      <c r="C14" s="9" t="n">
        <v>40</v>
      </c>
      <c r="D14" s="9" t="n">
        <v>30</v>
      </c>
      <c r="E14" s="9" t="n">
        <v>20</v>
      </c>
      <c r="F14" s="9" t="n">
        <f aca="false">SUM(C14:E14)</f>
        <v>90</v>
      </c>
    </row>
    <row r="15" customFormat="false" ht="15" hidden="false" customHeight="false" outlineLevel="0" collapsed="false">
      <c r="B15" s="8" t="s">
        <v>34</v>
      </c>
      <c r="C15" s="9" t="n">
        <v>30</v>
      </c>
      <c r="D15" s="9" t="n">
        <v>50</v>
      </c>
      <c r="E15" s="9" t="n">
        <v>30</v>
      </c>
      <c r="F15" s="9" t="n">
        <f aca="false">SUM(C15:E15)</f>
        <v>110</v>
      </c>
    </row>
    <row r="16" customFormat="false" ht="15" hidden="false" customHeight="false" outlineLevel="0" collapsed="false">
      <c r="B16" s="8" t="s">
        <v>35</v>
      </c>
      <c r="C16" s="9" t="n">
        <f aca="false">SUM(C14:C15)</f>
        <v>70</v>
      </c>
      <c r="D16" s="9" t="n">
        <f aca="false">SUM(D14:D15)</f>
        <v>80</v>
      </c>
      <c r="E16" s="9" t="n">
        <f aca="false">SUM(E14:E15)</f>
        <v>50</v>
      </c>
      <c r="F16" s="10" t="n">
        <f aca="false">SUM(F14:F15)</f>
        <v>200</v>
      </c>
    </row>
    <row r="18" customFormat="false" ht="15" hidden="false" customHeight="false" outlineLevel="0" collapsed="false">
      <c r="B18" s="5" t="s">
        <v>36</v>
      </c>
    </row>
    <row r="19" customFormat="false" ht="15" hidden="false" customHeight="false" outlineLevel="0" collapsed="false">
      <c r="B19" s="11" t="s">
        <v>37</v>
      </c>
    </row>
    <row r="20" customFormat="false" ht="15" hidden="false" customHeight="false" outlineLevel="0" collapsed="false">
      <c r="B20" s="7"/>
      <c r="C20" s="7" t="s">
        <v>29</v>
      </c>
      <c r="D20" s="7" t="s">
        <v>30</v>
      </c>
      <c r="E20" s="7" t="s">
        <v>31</v>
      </c>
    </row>
    <row r="21" customFormat="false" ht="15" hidden="false" customHeight="false" outlineLevel="0" collapsed="false">
      <c r="B21" s="12" t="s">
        <v>33</v>
      </c>
      <c r="C21" s="9" t="n">
        <f aca="false">F14*C16/F16</f>
        <v>31.5</v>
      </c>
      <c r="D21" s="9" t="n">
        <f aca="false">F14*D16/F16</f>
        <v>36</v>
      </c>
      <c r="E21" s="9" t="n">
        <f aca="false">F14*E16/F16</f>
        <v>22.5</v>
      </c>
    </row>
    <row r="22" customFormat="false" ht="15" hidden="false" customHeight="false" outlineLevel="0" collapsed="false">
      <c r="B22" s="12" t="s">
        <v>34</v>
      </c>
      <c r="C22" s="9" t="n">
        <f aca="false">F15*C16/F16</f>
        <v>38.5</v>
      </c>
      <c r="D22" s="9" t="n">
        <f aca="false">F15*D16/F16</f>
        <v>44</v>
      </c>
      <c r="E22" s="9" t="n">
        <f aca="false">F15*E16/F16</f>
        <v>27.5</v>
      </c>
    </row>
    <row r="24" customFormat="false" ht="15" hidden="false" customHeight="false" outlineLevel="0" collapsed="false">
      <c r="B24" s="5" t="s">
        <v>38</v>
      </c>
    </row>
    <row r="25" customFormat="false" ht="15" hidden="false" customHeight="false" outlineLevel="0" collapsed="false">
      <c r="B25" s="7"/>
      <c r="C25" s="7" t="s">
        <v>29</v>
      </c>
      <c r="D25" s="7" t="s">
        <v>30</v>
      </c>
      <c r="E25" s="7" t="s">
        <v>31</v>
      </c>
    </row>
    <row r="26" customFormat="false" ht="15" hidden="false" customHeight="false" outlineLevel="0" collapsed="false">
      <c r="B26" s="9" t="s">
        <v>33</v>
      </c>
      <c r="C26" s="9" t="n">
        <f aca="false">(C14-C21)^2/C21</f>
        <v>2.29365079365079</v>
      </c>
      <c r="D26" s="9" t="n">
        <f aca="false">(D14-D21)^2/D21</f>
        <v>1</v>
      </c>
      <c r="E26" s="9" t="n">
        <f aca="false">(E14-E21)^2/E21</f>
        <v>0.277777777777778</v>
      </c>
    </row>
    <row r="27" customFormat="false" ht="15" hidden="false" customHeight="false" outlineLevel="0" collapsed="false">
      <c r="B27" s="9" t="s">
        <v>34</v>
      </c>
      <c r="C27" s="9" t="n">
        <f aca="false">(C15-C22)^2/C22</f>
        <v>1.87662337662338</v>
      </c>
      <c r="D27" s="9" t="n">
        <f aca="false">(D15-D22)^2/D22</f>
        <v>0.818181818181818</v>
      </c>
      <c r="E27" s="9" t="n">
        <f aca="false">(E15-E22)^2/E22</f>
        <v>0.227272727272727</v>
      </c>
    </row>
    <row r="29" customFormat="false" ht="15" hidden="false" customHeight="false" outlineLevel="0" collapsed="false">
      <c r="B29" s="5" t="s">
        <v>39</v>
      </c>
    </row>
    <row r="30" customFormat="false" ht="15" hidden="false" customHeight="false" outlineLevel="0" collapsed="false">
      <c r="B30" s="6" t="s">
        <v>40</v>
      </c>
      <c r="C30" s="13" t="n">
        <f aca="false">SUM(C26:E27)</f>
        <v>6.49350649350649</v>
      </c>
    </row>
    <row r="32" customFormat="false" ht="15" hidden="false" customHeight="false" outlineLevel="0" collapsed="false">
      <c r="B32" s="5" t="s">
        <v>41</v>
      </c>
    </row>
    <row r="33" customFormat="false" ht="15" hidden="false" customHeight="false" outlineLevel="0" collapsed="false">
      <c r="B33" s="6" t="s">
        <v>42</v>
      </c>
    </row>
    <row r="35" customFormat="false" ht="15" hidden="false" customHeight="false" outlineLevel="0" collapsed="false">
      <c r="B35" s="5" t="s">
        <v>43</v>
      </c>
    </row>
    <row r="36" customFormat="false" ht="15" hidden="false" customHeight="false" outlineLevel="0" collapsed="false">
      <c r="B36" s="6" t="s">
        <v>44</v>
      </c>
    </row>
    <row r="38" customFormat="false" ht="15" hidden="false" customHeight="false" outlineLevel="0" collapsed="false">
      <c r="B38" s="5" t="s">
        <v>45</v>
      </c>
    </row>
    <row r="39" customFormat="false" ht="15" hidden="false" customHeight="false" outlineLevel="0" collapsed="false">
      <c r="B39" s="6" t="s">
        <v>46</v>
      </c>
    </row>
    <row r="40" customFormat="false" ht="15" hidden="false" customHeight="false" outlineLevel="0" collapsed="false">
      <c r="B40" s="4" t="s">
        <v>47</v>
      </c>
    </row>
    <row r="42" customFormat="false" ht="15" hidden="false" customHeight="false" outlineLevel="0" collapsed="false">
      <c r="B42" s="5" t="s">
        <v>48</v>
      </c>
    </row>
    <row r="43" customFormat="false" ht="45" hidden="false" customHeight="true" outlineLevel="0" collapsed="false">
      <c r="B43" s="3"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5" min="3" style="0" width="16"/>
    <col collapsed="false" customWidth="true" hidden="false" outlineLevel="0" max="6" min="6" style="0" width="18"/>
  </cols>
  <sheetData>
    <row r="1" customFormat="false" ht="17.35" hidden="false" customHeight="false" outlineLevel="0" collapsed="false">
      <c r="B1" s="1" t="s">
        <v>50</v>
      </c>
    </row>
    <row r="4" customFormat="false" ht="15" hidden="false" customHeight="false" outlineLevel="0" collapsed="false">
      <c r="B4" s="5" t="s">
        <v>51</v>
      </c>
    </row>
    <row r="6" customFormat="false" ht="64.9" hidden="false" customHeight="false" outlineLevel="0" collapsed="false">
      <c r="B6" s="3" t="s">
        <v>52</v>
      </c>
    </row>
    <row r="7" customFormat="false" ht="52.2" hidden="false" customHeight="false" outlineLevel="0" collapsed="false">
      <c r="B7" s="3" t="s">
        <v>53</v>
      </c>
    </row>
    <row r="8" customFormat="false" ht="15" hidden="false" customHeight="false" outlineLevel="0" collapsed="false">
      <c r="B8" s="7"/>
      <c r="C8" s="7" t="s">
        <v>54</v>
      </c>
      <c r="D8" s="7" t="s">
        <v>55</v>
      </c>
      <c r="E8" s="7" t="s">
        <v>56</v>
      </c>
      <c r="F8" s="7" t="s">
        <v>32</v>
      </c>
    </row>
    <row r="9" customFormat="false" ht="15" hidden="false" customHeight="false" outlineLevel="0" collapsed="false">
      <c r="B9" s="9" t="s">
        <v>57</v>
      </c>
      <c r="C9" s="9" t="n">
        <v>30</v>
      </c>
      <c r="D9" s="9" t="n">
        <v>60</v>
      </c>
      <c r="E9" s="9" t="n">
        <v>70</v>
      </c>
      <c r="F9" s="9" t="n">
        <v>160</v>
      </c>
    </row>
    <row r="10" customFormat="false" ht="15" hidden="false" customHeight="false" outlineLevel="0" collapsed="false">
      <c r="B10" s="9" t="s">
        <v>58</v>
      </c>
      <c r="C10" s="9" t="n">
        <v>50</v>
      </c>
      <c r="D10" s="9" t="n">
        <v>55</v>
      </c>
      <c r="E10" s="9" t="n">
        <v>35</v>
      </c>
      <c r="F10" s="9" t="n">
        <v>140</v>
      </c>
    </row>
    <row r="11" customFormat="false" ht="15" hidden="false" customHeight="false" outlineLevel="0" collapsed="false">
      <c r="B11" s="14" t="s">
        <v>35</v>
      </c>
      <c r="C11" s="14" t="n">
        <v>80</v>
      </c>
      <c r="D11" s="14" t="n">
        <v>115</v>
      </c>
      <c r="E11" s="14" t="n">
        <v>105</v>
      </c>
      <c r="F11" s="14" t="n">
        <v>300</v>
      </c>
    </row>
    <row r="13" customFormat="false" ht="64.9" hidden="false" customHeight="false" outlineLevel="0" collapsed="false">
      <c r="B13" s="15" t="s">
        <v>59</v>
      </c>
    </row>
    <row r="14" customFormat="false" ht="15" hidden="false" customHeight="false" outlineLevel="0" collapsed="false">
      <c r="B14" s="11" t="s">
        <v>60</v>
      </c>
    </row>
    <row r="18" customFormat="false" ht="15" hidden="false" customHeight="false" outlineLevel="0" collapsed="false">
      <c r="B18" s="5" t="s">
        <v>61</v>
      </c>
    </row>
    <row r="20" customFormat="false" ht="52.2" hidden="false" customHeight="false" outlineLevel="0" collapsed="false">
      <c r="B20" s="3" t="s">
        <v>62</v>
      </c>
    </row>
    <row r="21" customFormat="false" ht="64.9" hidden="false" customHeight="false" outlineLevel="0" collapsed="false">
      <c r="B21" s="3" t="s">
        <v>63</v>
      </c>
    </row>
    <row r="22" customFormat="false" ht="15" hidden="false" customHeight="false" outlineLevel="0" collapsed="false">
      <c r="B22" s="7"/>
      <c r="C22" s="7" t="s">
        <v>54</v>
      </c>
      <c r="D22" s="7" t="s">
        <v>64</v>
      </c>
      <c r="E22" s="7" t="s">
        <v>56</v>
      </c>
      <c r="F22" s="7" t="s">
        <v>32</v>
      </c>
    </row>
    <row r="23" customFormat="false" ht="15" hidden="false" customHeight="false" outlineLevel="0" collapsed="false">
      <c r="B23" s="9" t="s">
        <v>65</v>
      </c>
      <c r="C23" s="9" t="n">
        <v>40</v>
      </c>
      <c r="D23" s="9" t="n">
        <v>35</v>
      </c>
      <c r="E23" s="9" t="n">
        <v>25</v>
      </c>
      <c r="F23" s="9" t="n">
        <v>100</v>
      </c>
    </row>
    <row r="24" customFormat="false" ht="15" hidden="false" customHeight="false" outlineLevel="0" collapsed="false">
      <c r="B24" s="9" t="s">
        <v>66</v>
      </c>
      <c r="C24" s="9" t="n">
        <v>30</v>
      </c>
      <c r="D24" s="9" t="n">
        <v>55</v>
      </c>
      <c r="E24" s="9" t="n">
        <v>65</v>
      </c>
      <c r="F24" s="9" t="n">
        <v>150</v>
      </c>
    </row>
    <row r="25" customFormat="false" ht="15" hidden="false" customHeight="false" outlineLevel="0" collapsed="false">
      <c r="B25" s="9" t="s">
        <v>67</v>
      </c>
      <c r="C25" s="9" t="n">
        <v>10</v>
      </c>
      <c r="D25" s="9" t="n">
        <v>40</v>
      </c>
      <c r="E25" s="9" t="n">
        <v>100</v>
      </c>
      <c r="F25" s="9" t="n">
        <v>150</v>
      </c>
    </row>
    <row r="26" customFormat="false" ht="15" hidden="false" customHeight="false" outlineLevel="0" collapsed="false">
      <c r="B26" s="14" t="s">
        <v>35</v>
      </c>
      <c r="C26" s="14" t="n">
        <v>80</v>
      </c>
      <c r="D26" s="14" t="n">
        <v>130</v>
      </c>
      <c r="E26" s="14" t="n">
        <v>190</v>
      </c>
      <c r="F26" s="14" t="n">
        <v>400</v>
      </c>
    </row>
    <row r="28" customFormat="false" ht="64.9" hidden="false" customHeight="false" outlineLevel="0" collapsed="false">
      <c r="B28" s="15" t="s">
        <v>59</v>
      </c>
    </row>
    <row r="29" customFormat="false" ht="15" hidden="false" customHeight="false" outlineLevel="0" collapsed="false">
      <c r="B29" s="11"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2026-03-08T15:08:52Z</dcterms:created>
  <dc:creator>openpyxl</dc:creator>
  <dc:description/>
  <dc:language>en-US</dc:language>
  <cp:lastModifiedBy/>
  <dcterms:modified xsi:type="dcterms:W3CDTF">2026-03-08T15:08:52Z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