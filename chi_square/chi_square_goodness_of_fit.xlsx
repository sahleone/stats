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 Example" sheetId="2" state="visible" r:id="rId2"/>
    <sheet xmlns:r="http://schemas.openxmlformats.org/officeDocument/2006/relationships" name="Practice Questions" sheetId="3" state="visible" r:id="rId3"/>
    <sheet xmlns:r="http://schemas.openxmlformats.org/officeDocument/2006/relationships" name="Worked Example (Formulas)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496"/>
      <sz val="14"/>
    </font>
    <font>
      <name val="Arial"/>
      <charset val="1"/>
      <family val="0"/>
      <b val="1"/>
      <color rgb="FF2F5496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sz val="11"/>
    </font>
    <font>
      <name val="Arial"/>
      <charset val="1"/>
      <family val="0"/>
      <i val="1"/>
      <sz val="11"/>
    </font>
    <font>
      <name val="Arial"/>
      <b val="1"/>
      <color rgb="002F5496"/>
      <sz val="14"/>
    </font>
    <font>
      <name val="Arial"/>
      <b val="1"/>
      <color rgb="002F5496"/>
      <sz val="11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i val="1"/>
      <sz val="10"/>
    </font>
  </fonts>
  <fills count="8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5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top" wrapText="1"/>
    </xf>
    <xf numFmtId="0" fontId="14" fillId="6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14" min="1" max="1"/>
    <col width="60" customWidth="1" style="14" min="2" max="2"/>
    <col width="30" customWidth="1" style="14" min="3" max="3"/>
  </cols>
  <sheetData>
    <row r="1" ht="17.35" customHeight="1" s="15">
      <c r="B1" s="16" t="inlineStr">
        <is>
          <t>Chi-Square Goodness-of-Fit Test</t>
        </is>
      </c>
    </row>
    <row r="3" ht="15" customHeight="1" s="15">
      <c r="B3" s="17" t="inlineStr">
        <is>
          <t>Definition</t>
        </is>
      </c>
    </row>
    <row r="4" ht="30" customHeight="1" s="15">
      <c r="B4" s="18" t="inlineStr">
        <is>
          <t>The chi-square goodness-of-fit test determines whether observed sample frequencies differ significantly from expected (theoretical) frequencies for a single categorical variable.</t>
        </is>
      </c>
    </row>
    <row r="6" ht="15" customHeight="1" s="15">
      <c r="B6" s="17" t="inlineStr">
        <is>
          <t>When to Use</t>
        </is>
      </c>
    </row>
    <row r="7" ht="30" customHeight="1" s="15">
      <c r="B7" s="18" t="inlineStr">
        <is>
          <t>Use this test when you have one categorical variable with two or more categories and you want to test whether the observed distribution matches a hypothesized distribution.</t>
        </is>
      </c>
    </row>
    <row r="9" ht="15" customHeight="1" s="15">
      <c r="B9" s="17" t="inlineStr">
        <is>
          <t>Hypotheses</t>
        </is>
      </c>
    </row>
    <row r="10" ht="31.5" customHeight="1" s="15">
      <c r="B10" s="18" t="inlineStr">
        <is>
          <t>H₀: The observed frequencies follow the expected distribution.
H₁: The observed frequencies do NOT follow the expected distribution.</t>
        </is>
      </c>
    </row>
    <row r="12" ht="15" customHeight="1" s="15">
      <c r="B12" s="17" t="inlineStr">
        <is>
          <t>Test Statistic</t>
        </is>
      </c>
    </row>
    <row r="13" ht="96" customHeight="1" s="15">
      <c r="B13" s="18" t="inlineStr">
        <is>
          <t>χ² = Σ (Oᵢ − Eᵢ)² / Eᵢ
where:
  Oᵢ = observed frequency for category i
  Eᵢ = expected frequency for category i
  Σ = sum over all k categories</t>
        </is>
      </c>
    </row>
    <row r="15" ht="15" customHeight="1" s="15">
      <c r="B15" s="17" t="inlineStr">
        <is>
          <t>Degrees of Freedom</t>
        </is>
      </c>
    </row>
    <row r="16" ht="63.75" customHeight="1" s="15">
      <c r="B16" s="18" t="inlineStr">
        <is>
          <t>df = k − 1
where k = number of categories.
If parameters were estimated from the data, subtract one additional degree of freedom for each estimated parameter.</t>
        </is>
      </c>
    </row>
    <row r="18" ht="15" customHeight="1" s="15">
      <c r="B18" s="17" t="inlineStr">
        <is>
          <t>Decision Rule</t>
        </is>
      </c>
    </row>
    <row r="19" ht="48" customHeight="1" s="15">
      <c r="B19" s="18" t="inlineStr">
        <is>
          <t>Reject H₀ if χ²_calc &gt; χ²_critical at significance level α.
Alternatively, reject H₀ if the p-value &lt; α.</t>
        </is>
      </c>
    </row>
    <row r="21" ht="15" customHeight="1" s="15">
      <c r="B21" s="17" t="inlineStr">
        <is>
          <t>Assumptions</t>
        </is>
      </c>
    </row>
    <row r="22" ht="48" customHeight="1" s="15">
      <c r="B22" s="18" t="inlineStr">
        <is>
          <t>1. The data are a random sample from the population.
2. Each observation falls into exactly one category.
3. All expected frequencies Eᵢ ≥ 5. (If not, consider combining categories.)</t>
        </is>
      </c>
    </row>
    <row r="24" ht="15" customHeight="1" s="15">
      <c r="B24" s="17" t="inlineStr">
        <is>
          <t>Notation Summary</t>
        </is>
      </c>
    </row>
    <row r="25" ht="111.75" customHeight="1" s="15">
      <c r="B25" s="18" t="inlineStr">
        <is>
          <t>χ² = chi-square test statistic
Oᵢ = observed frequency for category i
Eᵢ = expected frequency for category i
k = number of categories
df = degrees of freedom
α = significance level (commonly 0.05)
n = total sample size</t>
        </is>
      </c>
    </row>
    <row r="28" ht="15" customHeight="1" s="15">
      <c r="B28" s="19" t="inlineStr">
        <is>
          <t>Selected Chi-Square Critical Values (Right-Tail)</t>
        </is>
      </c>
    </row>
    <row r="29" ht="26.85" customHeight="1" s="15">
      <c r="A29" s="20" t="n"/>
      <c r="B29" s="20" t="inlineStr">
        <is>
          <t>df</t>
        </is>
      </c>
      <c r="C29" s="20" t="inlineStr">
        <is>
          <t>α = 0.10</t>
        </is>
      </c>
      <c r="D29" s="20" t="inlineStr">
        <is>
          <t>α = 0.05</t>
        </is>
      </c>
      <c r="E29" s="20" t="inlineStr">
        <is>
          <t>α = 0.025</t>
        </is>
      </c>
      <c r="F29" s="20" t="inlineStr">
        <is>
          <t>α = 0.01</t>
        </is>
      </c>
    </row>
    <row r="30" ht="15" customHeight="1" s="15">
      <c r="B30" s="21" t="n">
        <v>1</v>
      </c>
      <c r="C30" s="21" t="n">
        <v>2.706</v>
      </c>
      <c r="D30" s="21" t="n">
        <v>3.841</v>
      </c>
      <c r="E30" s="21" t="n">
        <v>5.024</v>
      </c>
      <c r="F30" s="21" t="n">
        <v>6.635</v>
      </c>
    </row>
    <row r="31" ht="15" customHeight="1" s="15">
      <c r="B31" s="21" t="n">
        <v>2</v>
      </c>
      <c r="C31" s="21" t="n">
        <v>4.605</v>
      </c>
      <c r="D31" s="21" t="n">
        <v>5.991</v>
      </c>
      <c r="E31" s="21" t="n">
        <v>7.378</v>
      </c>
      <c r="F31" s="21" t="n">
        <v>9.210000000000001</v>
      </c>
    </row>
    <row r="32" ht="15" customHeight="1" s="15">
      <c r="B32" s="21" t="n">
        <v>3</v>
      </c>
      <c r="C32" s="21" t="n">
        <v>6.251</v>
      </c>
      <c r="D32" s="21" t="n">
        <v>7.815</v>
      </c>
      <c r="E32" s="21" t="n">
        <v>9.348000000000001</v>
      </c>
      <c r="F32" s="21" t="n">
        <v>11.345</v>
      </c>
    </row>
    <row r="33" ht="15" customHeight="1" s="15">
      <c r="B33" s="21" t="n">
        <v>4</v>
      </c>
      <c r="C33" s="21" t="n">
        <v>7.779</v>
      </c>
      <c r="D33" s="21" t="n">
        <v>9.488</v>
      </c>
      <c r="E33" s="21" t="n">
        <v>11.143</v>
      </c>
      <c r="F33" s="21" t="n">
        <v>13.277</v>
      </c>
    </row>
    <row r="34" ht="15" customHeight="1" s="15">
      <c r="B34" s="21" t="n">
        <v>5</v>
      </c>
      <c r="C34" s="21" t="n">
        <v>9.236000000000001</v>
      </c>
      <c r="D34" s="21" t="n">
        <v>11.07</v>
      </c>
      <c r="E34" s="21" t="n">
        <v>12.833</v>
      </c>
      <c r="F34" s="21" t="n">
        <v>15.086</v>
      </c>
    </row>
    <row r="35" ht="15" customHeight="1" s="15">
      <c r="B35" s="21" t="n">
        <v>6</v>
      </c>
      <c r="C35" s="21" t="n">
        <v>10.645</v>
      </c>
      <c r="D35" s="21" t="n">
        <v>12.592</v>
      </c>
      <c r="E35" s="21" t="n">
        <v>14.449</v>
      </c>
      <c r="F35" s="21" t="n">
        <v>16.812</v>
      </c>
    </row>
    <row r="36" ht="15" customHeight="1" s="15">
      <c r="B36" s="21" t="n">
        <v>8</v>
      </c>
      <c r="C36" s="21" t="n">
        <v>13.362</v>
      </c>
      <c r="D36" s="21" t="n">
        <v>15.507</v>
      </c>
      <c r="E36" s="21" t="n">
        <v>17.535</v>
      </c>
      <c r="F36" s="21" t="n">
        <v>20.09</v>
      </c>
    </row>
    <row r="37" ht="15" customHeight="1" s="15">
      <c r="B37" s="21" t="n">
        <v>10</v>
      </c>
      <c r="C37" s="21" t="n">
        <v>15.987</v>
      </c>
      <c r="D37" s="21" t="n">
        <v>18.307</v>
      </c>
      <c r="E37" s="21" t="n">
        <v>20.483</v>
      </c>
      <c r="F37" s="21" t="n">
        <v>23.209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14" min="1" max="1"/>
    <col width="22" customWidth="1" style="14" min="2" max="2"/>
    <col width="18" customWidth="1" style="14" min="3" max="4"/>
    <col width="22" customWidth="1" style="14" min="5" max="6"/>
  </cols>
  <sheetData>
    <row r="1" ht="17.35" customHeight="1" s="15">
      <c r="B1" s="16" t="inlineStr">
        <is>
          <t>Worked Example: Is a Die Fair?</t>
        </is>
      </c>
    </row>
    <row r="4" ht="15" customHeight="1" s="15">
      <c r="B4" s="22" t="inlineStr">
        <is>
          <t>Problem:</t>
        </is>
      </c>
    </row>
    <row r="5" ht="52.2" customHeight="1" s="15">
      <c r="B5" s="18" t="inlineStr">
        <is>
          <t>A statistics student rolls a six-sided die 120 times and records the following results.</t>
        </is>
      </c>
    </row>
    <row r="6" ht="39.55" customHeight="1" s="15">
      <c r="B6" s="18" t="inlineStr">
        <is>
          <t>Test at the α = 0.05 significance level whether the die is fair.</t>
        </is>
      </c>
    </row>
    <row r="8" ht="15" customHeight="1" s="15">
      <c r="B8" s="19" t="inlineStr">
        <is>
          <t>Step 1: State the Hypotheses</t>
        </is>
      </c>
    </row>
    <row r="9" ht="15" customHeight="1" s="15">
      <c r="B9" s="23" t="inlineStr">
        <is>
          <t>H₀: The die is fair (each face has probability 1/6).</t>
        </is>
      </c>
    </row>
    <row r="10" ht="15" customHeight="1" s="15">
      <c r="B10" s="23" t="inlineStr">
        <is>
          <t>H₁: The die is NOT fair (at least one face has a different probability).</t>
        </is>
      </c>
    </row>
    <row r="12" ht="15" customHeight="1" s="15">
      <c r="B12" s="19" t="inlineStr">
        <is>
          <t>Step 2: Set Up the Data</t>
        </is>
      </c>
    </row>
    <row r="13" ht="15" customHeight="1" s="15">
      <c r="A13" s="20" t="n"/>
      <c r="B13" s="20" t="inlineStr">
        <is>
          <t>Face</t>
        </is>
      </c>
      <c r="C13" s="20" t="inlineStr">
        <is>
          <t>Observed (O)</t>
        </is>
      </c>
      <c r="D13" s="20" t="inlineStr">
        <is>
          <t>Expected (E)</t>
        </is>
      </c>
      <c r="E13" s="20" t="inlineStr">
        <is>
          <t>(O − E)</t>
        </is>
      </c>
      <c r="F13" s="20" t="inlineStr">
        <is>
          <t>(O − E)² / E</t>
        </is>
      </c>
    </row>
    <row r="14" ht="15" customHeight="1" s="15">
      <c r="B14" s="24" t="n">
        <v>1</v>
      </c>
      <c r="C14" s="21" t="n">
        <v>25</v>
      </c>
      <c r="D14" s="21" t="n">
        <v>20</v>
      </c>
      <c r="E14" s="21">
        <f>C14-D14</f>
        <v/>
      </c>
      <c r="F14" s="21">
        <f>(C14-D14)^2/D14</f>
        <v/>
      </c>
    </row>
    <row r="15" ht="15" customHeight="1" s="15">
      <c r="B15" s="24" t="n">
        <v>2</v>
      </c>
      <c r="C15" s="21" t="n">
        <v>17</v>
      </c>
      <c r="D15" s="21" t="n">
        <v>20</v>
      </c>
      <c r="E15" s="21">
        <f>C15-D15</f>
        <v/>
      </c>
      <c r="F15" s="21">
        <f>(C15-D15)^2/D15</f>
        <v/>
      </c>
    </row>
    <row r="16" ht="15" customHeight="1" s="15">
      <c r="B16" s="24" t="n">
        <v>3</v>
      </c>
      <c r="C16" s="21" t="n">
        <v>15</v>
      </c>
      <c r="D16" s="21" t="n">
        <v>20</v>
      </c>
      <c r="E16" s="21">
        <f>C16-D16</f>
        <v/>
      </c>
      <c r="F16" s="21">
        <f>(C16-D16)^2/D16</f>
        <v/>
      </c>
    </row>
    <row r="17" ht="15" customHeight="1" s="15">
      <c r="B17" s="24" t="n">
        <v>4</v>
      </c>
      <c r="C17" s="21" t="n">
        <v>23</v>
      </c>
      <c r="D17" s="21" t="n">
        <v>20</v>
      </c>
      <c r="E17" s="21">
        <f>C17-D17</f>
        <v/>
      </c>
      <c r="F17" s="21">
        <f>(C17-D17)^2/D17</f>
        <v/>
      </c>
    </row>
    <row r="18" ht="15" customHeight="1" s="15">
      <c r="B18" s="24" t="n">
        <v>5</v>
      </c>
      <c r="C18" s="21" t="n">
        <v>24</v>
      </c>
      <c r="D18" s="21" t="n">
        <v>20</v>
      </c>
      <c r="E18" s="21">
        <f>C18-D18</f>
        <v/>
      </c>
      <c r="F18" s="21">
        <f>(C18-D18)^2/D18</f>
        <v/>
      </c>
    </row>
    <row r="19" ht="15" customHeight="1" s="15">
      <c r="B19" s="24" t="n">
        <v>6</v>
      </c>
      <c r="C19" s="21" t="n">
        <v>16</v>
      </c>
      <c r="D19" s="21" t="n">
        <v>20</v>
      </c>
      <c r="E19" s="21">
        <f>C19-D19</f>
        <v/>
      </c>
      <c r="F19" s="21">
        <f>(C19-D19)^2/D19</f>
        <v/>
      </c>
    </row>
    <row r="20" ht="15" customHeight="1" s="15">
      <c r="B20" s="25" t="inlineStr">
        <is>
          <t>Total</t>
        </is>
      </c>
      <c r="C20" s="25">
        <f>SUM(C14:C19)</f>
        <v/>
      </c>
      <c r="D20" s="25">
        <f>SUM(D14:D19)</f>
        <v/>
      </c>
      <c r="F20" s="26">
        <f>SUM(F14:F19)</f>
        <v/>
      </c>
    </row>
    <row r="22" ht="15" customHeight="1" s="15">
      <c r="B22" s="19" t="inlineStr">
        <is>
          <t>Step 3: Calculate the Test Statistic</t>
        </is>
      </c>
    </row>
    <row r="23" ht="15" customHeight="1" s="15">
      <c r="B23" s="23" t="inlineStr">
        <is>
          <t>χ² = Σ (Oᵢ − Eᵢ)² / Eᵢ  =</t>
        </is>
      </c>
      <c r="C23" s="26">
        <f>F20</f>
        <v/>
      </c>
    </row>
    <row r="25" ht="15" customHeight="1" s="15">
      <c r="B25" s="19" t="inlineStr">
        <is>
          <t>Step 4: Determine Degrees of Freedom</t>
        </is>
      </c>
    </row>
    <row r="26" ht="15" customHeight="1" s="15">
      <c r="B26" s="23" t="inlineStr">
        <is>
          <t>df = k − 1 = 6 − 1 = 5</t>
        </is>
      </c>
    </row>
    <row r="28" ht="15" customHeight="1" s="15">
      <c r="B28" s="19" t="inlineStr">
        <is>
          <t>Step 5: Find the Critical Value</t>
        </is>
      </c>
    </row>
    <row r="29" ht="15" customHeight="1" s="15">
      <c r="B29" s="23" t="inlineStr">
        <is>
          <t>At α = 0.05 with df = 5:  χ²_critical = 11.070</t>
        </is>
      </c>
    </row>
    <row r="30" ht="15" customHeight="1" s="15">
      <c r="B30" s="27" t="inlineStr">
        <is>
          <t>(From chi-square table, right-tail area = 0.05)</t>
        </is>
      </c>
    </row>
    <row r="32" ht="15" customHeight="1" s="15">
      <c r="B32" s="19" t="inlineStr">
        <is>
          <t>Step 6: Make the Decision</t>
        </is>
      </c>
    </row>
    <row r="33" ht="15" customHeight="1" s="15">
      <c r="B33" s="23" t="inlineStr">
        <is>
          <t>Compare:  χ²_calc (cell C24 above) vs χ²_critical = 11.070</t>
        </is>
      </c>
    </row>
    <row r="34" ht="15" customHeight="1" s="15">
      <c r="B34" s="22" t="inlineStr">
        <is>
          <t>Since χ²_calc &lt; 11.070, we FAIL TO REJECT H₀.</t>
        </is>
      </c>
    </row>
    <row r="36" ht="15" customHeight="1" s="15">
      <c r="B36" s="19" t="inlineStr">
        <is>
          <t>Step 7: State the Conclusion</t>
        </is>
      </c>
    </row>
    <row r="37" ht="39.75" customHeight="1" s="15">
      <c r="B37" s="18" t="inlineStr">
        <is>
          <t>At the 0.05 significance level, there is not sufficient evidence to conclude that the die is unfair. The observed frequencies are consistent with what we would expect from a fair die.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14" min="1" max="1"/>
    <col width="55" customWidth="1" style="14" min="2" max="2"/>
    <col width="18" customWidth="1" style="14" min="3" max="3"/>
  </cols>
  <sheetData>
    <row r="1" ht="17.35" customHeight="1" s="15">
      <c r="B1" s="16" t="inlineStr">
        <is>
          <t>Practice Questions</t>
        </is>
      </c>
    </row>
    <row r="4" ht="15" customHeight="1" s="15">
      <c r="B4" s="19" t="inlineStr">
        <is>
          <t>Question 1: M&amp;M Color Distribution</t>
        </is>
      </c>
    </row>
    <row r="6" ht="26.85" customHeight="1" s="15">
      <c r="B6" s="18" t="inlineStr">
        <is>
          <t>A candy company claims that its M&amp;M bags contain the following color distribution:</t>
        </is>
      </c>
    </row>
    <row r="7" ht="15" customHeight="1" s="15">
      <c r="B7" s="23" t="inlineStr">
        <is>
          <t xml:space="preserve">  Red: 20%,  Orange: 20%,  Yellow: 20%,  Green: 15%,  Blue: 15%,  Brown: 10%</t>
        </is>
      </c>
    </row>
    <row r="9" ht="26.85" customHeight="1" s="15">
      <c r="B9" s="18" t="inlineStr">
        <is>
          <t>A student buys a large bag and counts 200 M&amp;Ms. The observed counts are:</t>
        </is>
      </c>
    </row>
    <row r="10" ht="15" customHeight="1" s="15">
      <c r="A10" s="20" t="n"/>
      <c r="B10" s="20" t="inlineStr">
        <is>
          <t>Color</t>
        </is>
      </c>
      <c r="C10" s="20" t="inlineStr">
        <is>
          <t>Observed Count</t>
        </is>
      </c>
    </row>
    <row r="11" ht="15" customHeight="1" s="15">
      <c r="B11" s="21" t="inlineStr">
        <is>
          <t>Red</t>
        </is>
      </c>
      <c r="C11" s="21" t="n">
        <v>50</v>
      </c>
    </row>
    <row r="12" ht="15" customHeight="1" s="15">
      <c r="B12" s="21" t="inlineStr">
        <is>
          <t>Orange</t>
        </is>
      </c>
      <c r="C12" s="21" t="n">
        <v>35</v>
      </c>
    </row>
    <row r="13" ht="15" customHeight="1" s="15">
      <c r="B13" s="21" t="inlineStr">
        <is>
          <t>Yellow</t>
        </is>
      </c>
      <c r="C13" s="21" t="n">
        <v>44</v>
      </c>
    </row>
    <row r="14" ht="15" customHeight="1" s="15">
      <c r="B14" s="21" t="inlineStr">
        <is>
          <t>Green</t>
        </is>
      </c>
      <c r="C14" s="21" t="n">
        <v>30</v>
      </c>
    </row>
    <row r="15" ht="15" customHeight="1" s="15">
      <c r="B15" s="21" t="inlineStr">
        <is>
          <t>Blue</t>
        </is>
      </c>
      <c r="C15" s="21" t="n">
        <v>25</v>
      </c>
    </row>
    <row r="16" ht="15" customHeight="1" s="15">
      <c r="B16" s="21" t="inlineStr">
        <is>
          <t>Brown</t>
        </is>
      </c>
      <c r="C16" s="21" t="n">
        <v>16</v>
      </c>
    </row>
    <row r="18" ht="15" customHeight="1" s="15">
      <c r="B18" s="23" t="inlineStr">
        <is>
          <t>At the α = 0.05 significance level, test whether the observed distribution</t>
        </is>
      </c>
    </row>
    <row r="19" ht="15" customHeight="1" s="15">
      <c r="B19" s="23" t="inlineStr">
        <is>
          <t>differs from the company's claimed distribution.</t>
        </is>
      </c>
    </row>
    <row r="20" ht="30" customHeight="1" s="15">
      <c r="B20" s="28" t="inlineStr">
        <is>
          <t>Show all steps: hypotheses, expected counts, test statistic, critical value, decision, and conclusion.</t>
        </is>
      </c>
    </row>
    <row r="24" ht="15" customHeight="1" s="15">
      <c r="B24" s="19" t="inlineStr">
        <is>
          <t>Question 2: Customer Arrival Patterns</t>
        </is>
      </c>
    </row>
    <row r="26" ht="26.85" customHeight="1" s="15">
      <c r="B26" s="18" t="inlineStr">
        <is>
          <t>A coffee shop manager believes that customers arrive equally across all five weekdays.</t>
        </is>
      </c>
    </row>
    <row r="27" ht="15" customHeight="1" s="15">
      <c r="B27" s="23" t="inlineStr">
        <is>
          <t>Over one week, she records the following customer counts (total = 500):</t>
        </is>
      </c>
    </row>
    <row r="28" ht="15" customHeight="1" s="15">
      <c r="A28" s="20" t="n"/>
      <c r="B28" s="20" t="inlineStr">
        <is>
          <t>Day</t>
        </is>
      </c>
      <c r="C28" s="20" t="inlineStr">
        <is>
          <t>Observed Count</t>
        </is>
      </c>
    </row>
    <row r="29" ht="15" customHeight="1" s="15">
      <c r="B29" s="21" t="inlineStr">
        <is>
          <t>Monday</t>
        </is>
      </c>
      <c r="C29" s="21" t="n">
        <v>120</v>
      </c>
    </row>
    <row r="30" ht="15" customHeight="1" s="15">
      <c r="B30" s="21" t="inlineStr">
        <is>
          <t>Tuesday</t>
        </is>
      </c>
      <c r="C30" s="21" t="n">
        <v>90</v>
      </c>
    </row>
    <row r="31" ht="15" customHeight="1" s="15">
      <c r="B31" s="21" t="inlineStr">
        <is>
          <t>Wednesday</t>
        </is>
      </c>
      <c r="C31" s="21" t="n">
        <v>95</v>
      </c>
    </row>
    <row r="32" ht="15" customHeight="1" s="15">
      <c r="B32" s="21" t="inlineStr">
        <is>
          <t>Thursday</t>
        </is>
      </c>
      <c r="C32" s="21" t="n">
        <v>85</v>
      </c>
    </row>
    <row r="33" ht="15" customHeight="1" s="15">
      <c r="B33" s="21" t="inlineStr">
        <is>
          <t>Friday</t>
        </is>
      </c>
      <c r="C33" s="21" t="n">
        <v>110</v>
      </c>
    </row>
    <row r="35" ht="15" customHeight="1" s="15">
      <c r="B35" s="23" t="inlineStr">
        <is>
          <t>At the α = 0.10 significance level, test whether customers arrive equally</t>
        </is>
      </c>
    </row>
    <row r="36" ht="15" customHeight="1" s="15">
      <c r="B36" s="23" t="inlineStr">
        <is>
          <t>across the five weekdays.</t>
        </is>
      </c>
    </row>
    <row r="37" ht="30" customHeight="1" s="15">
      <c r="B37" s="28" t="inlineStr">
        <is>
          <t>Show all steps: hypotheses, expected counts, test statistic, critical value, decision, and conclusion.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52"/>
  <sheetViews>
    <sheetView workbookViewId="0">
      <selection activeCell="A1" sqref="A1"/>
    </sheetView>
  </sheetViews>
  <sheetFormatPr baseColWidth="8" defaultRowHeight="15"/>
  <cols>
    <col width="4" customWidth="1" style="15" min="1" max="1"/>
    <col width="42" customWidth="1" style="15" min="2" max="2"/>
    <col width="18" customWidth="1" style="15" min="3" max="3"/>
    <col width="18" customWidth="1" style="15" min="4" max="4"/>
    <col width="18" customWidth="1" style="15" min="5" max="5"/>
    <col width="18" customWidth="1" style="15" min="6" max="6"/>
  </cols>
  <sheetData>
    <row r="1">
      <c r="B1" s="29" t="inlineStr">
        <is>
          <t>Worked Example (Formulas): Is a Die Fair?</t>
        </is>
      </c>
    </row>
    <row r="3">
      <c r="B3" s="30" t="inlineStr">
        <is>
          <t>Parameters</t>
        </is>
      </c>
    </row>
    <row r="4">
      <c r="B4" s="31" t="inlineStr">
        <is>
          <t>Significance Level (α)</t>
        </is>
      </c>
      <c r="C4" s="32" t="n">
        <v>0.05</v>
      </c>
    </row>
    <row r="6">
      <c r="B6" s="30" t="inlineStr">
        <is>
          <t>Problem:</t>
        </is>
      </c>
    </row>
    <row r="7" ht="48" customHeight="1" s="15">
      <c r="B7" s="33" t="inlineStr">
        <is>
          <t>A statistics student rolls a six-sided die 120 times and records the following results.
Test at the α = 0.05 significance level whether the die is fair.</t>
        </is>
      </c>
    </row>
    <row r="9">
      <c r="B9" s="30" t="inlineStr">
        <is>
          <t>Step 1: State the Hypotheses</t>
        </is>
      </c>
    </row>
    <row r="10" ht="30" customHeight="1" s="15">
      <c r="B10" s="33" t="inlineStr">
        <is>
          <t>H₀: The die is fair (each face has probability 1/6).</t>
        </is>
      </c>
    </row>
    <row r="11" ht="30" customHeight="1" s="15">
      <c r="B11" s="33" t="inlineStr">
        <is>
          <t>H₁: The die is NOT fair (at least one face has a different probability).</t>
        </is>
      </c>
    </row>
    <row r="13">
      <c r="B13" s="30" t="inlineStr">
        <is>
          <t>Step 2: Set Up the Data</t>
        </is>
      </c>
    </row>
    <row r="14">
      <c r="B14" s="34" t="inlineStr">
        <is>
          <t>Face</t>
        </is>
      </c>
      <c r="C14" s="34" t="inlineStr">
        <is>
          <t>Observed (O)</t>
        </is>
      </c>
      <c r="D14" s="34" t="inlineStr">
        <is>
          <t>Expected (E)</t>
        </is>
      </c>
      <c r="E14" s="34" t="inlineStr">
        <is>
          <t>(O − E)</t>
        </is>
      </c>
      <c r="F14" s="34" t="inlineStr">
        <is>
          <t>(O − E)² / E</t>
        </is>
      </c>
    </row>
    <row r="15">
      <c r="B15" s="35" t="n">
        <v>1</v>
      </c>
      <c r="C15" s="36" t="n">
        <v>25</v>
      </c>
      <c r="D15" s="36">
        <f>SUM($C$15:$C$20)/COUNTA(B15:B20)</f>
        <v/>
      </c>
      <c r="E15" s="36">
        <f>C15-D15</f>
        <v/>
      </c>
      <c r="F15" s="36">
        <f>(C15-D15)^2/D15</f>
        <v/>
      </c>
    </row>
    <row r="16">
      <c r="B16" s="35" t="n">
        <v>2</v>
      </c>
      <c r="C16" s="36" t="n">
        <v>17</v>
      </c>
      <c r="D16" s="36">
        <f>SUM($C$15:$C$20)/COUNTA(B15:B20)</f>
        <v/>
      </c>
      <c r="E16" s="36">
        <f>C16-D16</f>
        <v/>
      </c>
      <c r="F16" s="36">
        <f>(C16-D16)^2/D16</f>
        <v/>
      </c>
    </row>
    <row r="17">
      <c r="B17" s="35" t="n">
        <v>3</v>
      </c>
      <c r="C17" s="36" t="n">
        <v>15</v>
      </c>
      <c r="D17" s="36">
        <f>SUM($C$15:$C$20)/COUNTA(B15:B20)</f>
        <v/>
      </c>
      <c r="E17" s="36">
        <f>C17-D17</f>
        <v/>
      </c>
      <c r="F17" s="36">
        <f>(C17-D17)^2/D17</f>
        <v/>
      </c>
    </row>
    <row r="18">
      <c r="B18" s="35" t="n">
        <v>4</v>
      </c>
      <c r="C18" s="36" t="n">
        <v>23</v>
      </c>
      <c r="D18" s="36">
        <f>SUM($C$15:$C$20)/COUNTA(B15:B20)</f>
        <v/>
      </c>
      <c r="E18" s="36">
        <f>C18-D18</f>
        <v/>
      </c>
      <c r="F18" s="36">
        <f>(C18-D18)^2/D18</f>
        <v/>
      </c>
    </row>
    <row r="19">
      <c r="B19" s="35" t="n">
        <v>5</v>
      </c>
      <c r="C19" s="36" t="n">
        <v>24</v>
      </c>
      <c r="D19" s="36">
        <f>SUM($C$15:$C$20)/COUNTA(B15:B20)</f>
        <v/>
      </c>
      <c r="E19" s="36">
        <f>C19-D19</f>
        <v/>
      </c>
      <c r="F19" s="36">
        <f>(C19-D19)^2/D19</f>
        <v/>
      </c>
    </row>
    <row r="20">
      <c r="B20" s="35" t="n">
        <v>6</v>
      </c>
      <c r="C20" s="36" t="n">
        <v>16</v>
      </c>
      <c r="D20" s="36">
        <f>SUM($C$15:$C$20)/COUNTA(B15:B20)</f>
        <v/>
      </c>
      <c r="E20" s="36">
        <f>C20-D20</f>
        <v/>
      </c>
      <c r="F20" s="36">
        <f>(C20-D20)^2/D20</f>
        <v/>
      </c>
    </row>
    <row r="21">
      <c r="B21" s="37" t="inlineStr">
        <is>
          <t>Total</t>
        </is>
      </c>
      <c r="C21" s="38">
        <f>SUM(C15:C20)</f>
        <v/>
      </c>
      <c r="D21" s="38">
        <f>SUM(D15:D20)</f>
        <v/>
      </c>
      <c r="F21" s="38">
        <f>SUM(F15:F20)</f>
        <v/>
      </c>
    </row>
    <row r="23">
      <c r="B23" s="30" t="inlineStr">
        <is>
          <t>Step 3: Calculate the Test Statistic</t>
        </is>
      </c>
    </row>
    <row r="24">
      <c r="B24" s="31" t="inlineStr">
        <is>
          <t>χ² = Σ (Oᵢ − Eᵢ)² / Eᵢ  =</t>
        </is>
      </c>
      <c r="C24" s="39">
        <f>F21</f>
        <v/>
      </c>
    </row>
    <row r="26">
      <c r="B26" s="30" t="inlineStr">
        <is>
          <t>Step 4: Degrees of Freedom</t>
        </is>
      </c>
    </row>
    <row r="27">
      <c r="B27" s="31" t="inlineStr">
        <is>
          <t>df = k − 1 =</t>
        </is>
      </c>
      <c r="C27" s="39">
        <f>COUNTA(B15:B20)-1</f>
        <v/>
      </c>
    </row>
    <row r="29">
      <c r="B29" s="30" t="inlineStr">
        <is>
          <t>Step 5: Find the Critical Value</t>
        </is>
      </c>
    </row>
    <row r="30" ht="30" customHeight="1" s="15">
      <c r="B30" s="33" t="inlineStr">
        <is>
          <t>Using CHISQ.INV.RT(α, df):</t>
        </is>
      </c>
    </row>
    <row r="31">
      <c r="B31" s="31" t="inlineStr">
        <is>
          <t>χ²_critical =</t>
        </is>
      </c>
      <c r="C31" s="39">
        <f>CHISQ.INV.RT($C$4,C27)</f>
        <v/>
      </c>
    </row>
    <row r="33">
      <c r="B33" s="30" t="inlineStr">
        <is>
          <t>Step 6: Calculate the P-Value</t>
        </is>
      </c>
    </row>
    <row r="34">
      <c r="B34" s="31" t="inlineStr">
        <is>
          <t>p-value =</t>
        </is>
      </c>
      <c r="C34" s="39">
        <f>CHISQ.DIST.RT(C24,C27)</f>
        <v/>
      </c>
    </row>
    <row r="36">
      <c r="B36" s="30" t="inlineStr">
        <is>
          <t>Step 7: Make the Decision</t>
        </is>
      </c>
    </row>
    <row r="37">
      <c r="B37" s="31" t="inlineStr">
        <is>
          <t>Decision (by critical value):</t>
        </is>
      </c>
      <c r="C37" s="39">
        <f>IF(C24&gt;C31,"Reject H₀","Fail to Reject H₀")</f>
        <v/>
      </c>
    </row>
    <row r="38">
      <c r="B38" s="31" t="inlineStr">
        <is>
          <t>Decision (by p-value):</t>
        </is>
      </c>
      <c r="C38" s="39">
        <f>IF(C34&lt;$C$4,"Reject H₀","Fail to Reject H₀")</f>
        <v/>
      </c>
    </row>
    <row r="39">
      <c r="B39" s="40" t="inlineStr">
        <is>
          <t>Both methods should agree. Students can verify by changing α in cell C3.</t>
        </is>
      </c>
    </row>
    <row r="41">
      <c r="B41" s="30" t="inlineStr">
        <is>
          <t>Step 8: State the Conclusion</t>
        </is>
      </c>
    </row>
    <row r="42" ht="48" customHeight="1" s="15">
      <c r="B42" s="33" t="inlineStr">
        <is>
          <t>At the 0.05 significance level, there is not sufficient evidence to conclude that the die is unfair. The observed frequencies are consistent with what we would expect from a fair die.</t>
        </is>
      </c>
    </row>
    <row r="46">
      <c r="B46" s="30" t="inlineStr">
        <is>
          <t>Excel Functions Used in This Example</t>
        </is>
      </c>
    </row>
    <row r="47">
      <c r="B47" s="34" t="inlineStr">
        <is>
          <t>Function</t>
        </is>
      </c>
      <c r="C47" s="34" t="inlineStr">
        <is>
          <t>What It Does</t>
        </is>
      </c>
      <c r="D47" s="34" t="inlineStr">
        <is>
          <t>Example</t>
        </is>
      </c>
    </row>
    <row r="48" ht="32" customHeight="1" s="15">
      <c r="B48" s="41">
        <f>CHISQ.INV.RT(α, df)</f>
        <v/>
      </c>
      <c r="C48" s="41" t="inlineStr">
        <is>
          <t>Returns the critical value for a right-tailed χ² test</t>
        </is>
      </c>
      <c r="D48" s="41">
        <f>CHISQ.INV.RT(0.05, 5) → 11.070</f>
        <v/>
      </c>
    </row>
    <row r="49" ht="32" customHeight="1" s="15">
      <c r="B49" s="41">
        <f>CHISQ.DIST.RT(x, df)</f>
        <v/>
      </c>
      <c r="C49" s="41" t="inlineStr">
        <is>
          <t>Returns the p-value (right-tail area) for a χ² statistic</t>
        </is>
      </c>
      <c r="D49" s="41">
        <f>CHISQ.DIST.RT(4.6, 5) → 0.467</f>
        <v/>
      </c>
    </row>
    <row r="50" ht="32" customHeight="1" s="15">
      <c r="B50" s="41">
        <f>COUNTA(range)</f>
        <v/>
      </c>
      <c r="C50" s="41" t="inlineStr">
        <is>
          <t>Counts the number of non-empty cells in a range</t>
        </is>
      </c>
      <c r="D50" s="41">
        <f>COUNTA(B14:B19) → 6</f>
        <v/>
      </c>
    </row>
    <row r="51" ht="32" customHeight="1" s="15">
      <c r="B51" s="41">
        <f>SUM(range)</f>
        <v/>
      </c>
      <c r="C51" s="41" t="inlineStr">
        <is>
          <t>Adds all numbers in a range</t>
        </is>
      </c>
      <c r="D51" s="41">
        <f>SUM(F14:F19) → χ² statistic</f>
        <v/>
      </c>
    </row>
    <row r="52" ht="32" customHeight="1" s="15">
      <c r="B52" s="41">
        <f>IF(test, true, false)</f>
        <v/>
      </c>
      <c r="C52" s="41" t="inlineStr">
        <is>
          <t>Returns one value if a condition is TRUE, another if FALSE</t>
        </is>
      </c>
      <c r="D52" s="41">
        <f>IF(χ²&gt;crit, "Reject H₀", "Fail to Reject H₀")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2026-03-08T15:08:51Z</dcterms:created>
  <dcterms:modified xmlns:dcterms="http://purl.org/dc/terms/" xmlns:xsi="http://www.w3.org/2001/XMLSchema-instance" xsi:type="dcterms:W3CDTF">2026-03-09T10:51:20Z</dcterms:modified>
  <cp:revision>0</cp:revision>
</cp:coreProperties>
</file>