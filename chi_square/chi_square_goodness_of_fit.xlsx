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Worked Example" sheetId="2" state="visible" r:id="rId4"/>
    <sheet name="Practice Ques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<sst xmlns="http://schemas.openxmlformats.org/spreadsheetml/2006/main" count="78" uniqueCount="76">
  <si>
    <t xml:space="preserve">Chi-Square Goodness-of-Fit Test</t>
  </si>
  <si>
    <t xml:space="preserve">Definition</t>
  </si>
  <si>
    <t xml:space="preserve">The chi-square goodness-of-fit test determines whether observed sample frequencies differ significantly from expected (theoretical) frequencies for a single categorical variable.</t>
  </si>
  <si>
    <t xml:space="preserve">When to Use</t>
  </si>
  <si>
    <t xml:space="preserve">Use this test when you have one categorical variable with two or more categories and you want to test whether the observed distribution matches a hypothesized distribution.</t>
  </si>
  <si>
    <t xml:space="preserve">Hypotheses</t>
  </si>
  <si>
    <t xml:space="preserve">H₀: The observed frequencies follow the expected distribution.
H₁: The observed frequencies do NOT follow the expected distribution.</t>
  </si>
  <si>
    <t xml:space="preserve">Test Statistic</t>
  </si>
  <si>
    <t xml:space="preserve">χ² = Σ (Oᵢ − Eᵢ)² / Eᵢ
where:
  Oᵢ = observed frequency for category i
  Eᵢ = expected frequency for category i
  Σ = sum over all k categories</t>
  </si>
  <si>
    <t xml:space="preserve">Degrees of Freedom</t>
  </si>
  <si>
    <t xml:space="preserve">df = k − 1
where k = number of categories.
If parameters were estimated from the data, subtract one additional degree of freedom for each estimated parameter.</t>
  </si>
  <si>
    <t xml:space="preserve">Decision Rule</t>
  </si>
  <si>
    <t xml:space="preserve">Reject H₀ if χ²_calc &gt; χ²_critical at significance level α.
Alternatively, reject H₀ if the p-value &lt; α.</t>
  </si>
  <si>
    <t xml:space="preserve">Assumptions</t>
  </si>
  <si>
    <t xml:space="preserve">1. The data are a random sample from the population.
2. Each observation falls into exactly one category.
3. All expected frequencies Eᵢ ≥ 5. (If not, consider combining categories.)</t>
  </si>
  <si>
    <t xml:space="preserve">Notation Summary</t>
  </si>
  <si>
    <t xml:space="preserve">χ² = chi-square test statistic
Oᵢ = observed frequency for category i
Eᵢ = expected frequency for category i
k = number of categories
df = degrees of freedom
α = significance level (commonly 0.05)
n = total sample size</t>
  </si>
  <si>
    <t xml:space="preserve">Selected Chi-Square Critical Values (Right-Tail)</t>
  </si>
  <si>
    <t xml:space="preserve">df</t>
  </si>
  <si>
    <t xml:space="preserve">α = 0.10</t>
  </si>
  <si>
    <t xml:space="preserve">α = 0.05</t>
  </si>
  <si>
    <t xml:space="preserve">α = 0.025</t>
  </si>
  <si>
    <t xml:space="preserve">α = 0.01</t>
  </si>
  <si>
    <t xml:space="preserve">Worked Example: Is a Die Fair?</t>
  </si>
  <si>
    <t xml:space="preserve">Problem:</t>
  </si>
  <si>
    <t xml:space="preserve">A statistics student rolls a six-sided die 120 times and records the following results.</t>
  </si>
  <si>
    <t xml:space="preserve">Test at the α = 0.05 significance level whether the die is fair.</t>
  </si>
  <si>
    <t xml:space="preserve">Step 1: State the Hypotheses</t>
  </si>
  <si>
    <t xml:space="preserve">H₀: The die is fair (each face has probability 1/6).</t>
  </si>
  <si>
    <t xml:space="preserve">H₁: The die is NOT fair (at least one face has a different probability).</t>
  </si>
  <si>
    <t xml:space="preserve">Step 2: Set Up the Data</t>
  </si>
  <si>
    <t xml:space="preserve">Face</t>
  </si>
  <si>
    <t xml:space="preserve">Observed (O)</t>
  </si>
  <si>
    <t xml:space="preserve">Expected (E)</t>
  </si>
  <si>
    <t xml:space="preserve">(O − E)</t>
  </si>
  <si>
    <t xml:space="preserve">(O − E)² / E</t>
  </si>
  <si>
    <t xml:space="preserve">Total</t>
  </si>
  <si>
    <t xml:space="preserve">Step 3: Calculate the Test Statistic</t>
  </si>
  <si>
    <t xml:space="preserve">χ² = Σ (Oᵢ − Eᵢ)² / Eᵢ  =</t>
  </si>
  <si>
    <t xml:space="preserve">Step 4: Determine Degrees of Freedom</t>
  </si>
  <si>
    <t xml:space="preserve">df = k − 1 = 6 − 1 = 5</t>
  </si>
  <si>
    <t xml:space="preserve">Step 5: Find the Critical Value</t>
  </si>
  <si>
    <t xml:space="preserve">At α = 0.05 with df = 5:  χ²_critical = 11.070</t>
  </si>
  <si>
    <t xml:space="preserve">(From chi-square table, right-tail area = 0.05)</t>
  </si>
  <si>
    <t xml:space="preserve">Step 6: Make the Decision</t>
  </si>
  <si>
    <t xml:space="preserve">Compare:  χ²_calc (cell C24 above) vs χ²_critical = 11.070</t>
  </si>
  <si>
    <t xml:space="preserve">Since χ²_calc &lt; 11.070, we FAIL TO REJECT H₀.</t>
  </si>
  <si>
    <t xml:space="preserve">Step 7: State the Conclusion</t>
  </si>
  <si>
    <t xml:space="preserve">At the 0.05 significance level, there is not sufficient evidence to conclude that the die is unfair. The observed frequencies are consistent with what we would expect from a fair die.</t>
  </si>
  <si>
    <t xml:space="preserve">Practice Questions</t>
  </si>
  <si>
    <t xml:space="preserve">Question 1: M&amp;M Color Distribution</t>
  </si>
  <si>
    <t xml:space="preserve">A candy company claims that its M&amp;M bags contain the following color distribution:</t>
  </si>
  <si>
    <t xml:space="preserve">  Red: 20%,  Orange: 20%,  Yellow: 20%,  Green: 15%,  Blue: 15%,  Brown: 10%</t>
  </si>
  <si>
    <t xml:space="preserve">A student buys a large bag and counts 200 M&amp;Ms. The observed counts are:</t>
  </si>
  <si>
    <t xml:space="preserve">Color</t>
  </si>
  <si>
    <t xml:space="preserve">Observed Count</t>
  </si>
  <si>
    <t xml:space="preserve">Red</t>
  </si>
  <si>
    <t xml:space="preserve">Orange</t>
  </si>
  <si>
    <t xml:space="preserve">Yellow</t>
  </si>
  <si>
    <t xml:space="preserve">Green</t>
  </si>
  <si>
    <t xml:space="preserve">Blue</t>
  </si>
  <si>
    <t xml:space="preserve">Brown</t>
  </si>
  <si>
    <t xml:space="preserve">At the α = 0.05 significance level, test whether the observed distribution</t>
  </si>
  <si>
    <t xml:space="preserve">differs from the company's claimed distribution.</t>
  </si>
  <si>
    <t xml:space="preserve">Show all steps: hypotheses, expected counts, test statistic, critical value, decision, and conclusion.</t>
  </si>
  <si>
    <t xml:space="preserve">Question 2: Customer Arrival Patterns</t>
  </si>
  <si>
    <t xml:space="preserve">A coffee shop manager believes that customers arrive equally across all five weekdays.</t>
  </si>
  <si>
    <t xml:space="preserve">Over one week, she records the following customer counts (total = 500):</t>
  </si>
  <si>
    <t xml:space="preserve">Day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</si>
  <si>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</si>
  <si>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</si>
  <si>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</si>
  <si>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</si>
  <si>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</si>
  <si>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At the α = 0.10 significance level, test whether customers arrive equally</t>
  </si>
  <si>
    <t xml:space="preserve">across the five weekdays.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</si>
</sst>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496"/>
      <name val="Arial"/>
      <family val="0"/>
      <charset val="1"/>
    </font>
    <font>
      <b val="true"/>
      <sz val="11"/>
      <color rgb="FF2F5496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E4F0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3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30" hidden="false" customHeight="true" outlineLevel="0" collapsed="false">
      <c r="B4" s="3" t="s">
        <v>2</v>
      </c>
    </row>
    <row r="6" customFormat="false" ht="15" hidden="false" customHeight="false" outlineLevel="0" collapsed="false">
      <c r="B6" s="2" t="s">
        <v>3</v>
      </c>
    </row>
    <row r="7" customFormat="false" ht="30" hidden="false" customHeight="tru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31.5" hidden="false" customHeight="true" outlineLevel="0" collapsed="false">
      <c r="B10" s="3" t="s">
        <v>6</v>
      </c>
    </row>
    <row r="12" customFormat="false" ht="15" hidden="false" customHeight="false" outlineLevel="0" collapsed="false">
      <c r="B12" s="2" t="s">
        <v>7</v>
      </c>
    </row>
    <row r="13" customFormat="false" ht="96" hidden="false" customHeight="true" outlineLevel="0" collapsed="false">
      <c r="B13" s="3" t="s">
        <v>8</v>
      </c>
    </row>
    <row r="15" customFormat="false" ht="15" hidden="false" customHeight="false" outlineLevel="0" collapsed="false">
      <c r="B15" s="2" t="s">
        <v>9</v>
      </c>
    </row>
    <row r="16" customFormat="false" ht="63.75" hidden="false" customHeight="true" outlineLevel="0" collapsed="false">
      <c r="B16" s="3" t="s">
        <v>10</v>
      </c>
    </row>
    <row r="18" customFormat="false" ht="15" hidden="false" customHeight="false" outlineLevel="0" collapsed="false">
      <c r="B18" s="2" t="s">
        <v>11</v>
      </c>
    </row>
    <row r="19" customFormat="false" ht="48" hidden="false" customHeight="true" outlineLevel="0" collapsed="false">
      <c r="B19" s="3" t="s">
        <v>12</v>
      </c>
    </row>
    <row r="21" customFormat="false" ht="15" hidden="false" customHeight="false" outlineLevel="0" collapsed="false">
      <c r="B21" s="2" t="s">
        <v>13</v>
      </c>
    </row>
    <row r="22" customFormat="false" ht="48" hidden="false" customHeight="true" outlineLevel="0" collapsed="false">
      <c r="B22" s="3" t="s">
        <v>14</v>
      </c>
    </row>
    <row r="24" customFormat="false" ht="15" hidden="false" customHeight="false" outlineLevel="0" collapsed="false">
      <c r="B24" s="2" t="s">
        <v>15</v>
      </c>
    </row>
    <row r="25" customFormat="false" ht="111.75" hidden="false" customHeight="true" outlineLevel="0" collapsed="false">
      <c r="B25" s="3" t="s">
        <v>16</v>
      </c>
    </row>
    <row r="28" customFormat="false" ht="15" hidden="false" customHeight="false" outlineLevel="0" collapsed="false">
      <c r="B28" s="4" t="s">
        <v>17</v>
      </c>
    </row>
    <row r="29" customFormat="false" ht="26.85" hidden="false" customHeight="false" outlineLevel="0" collapsed="false">
      <c r="A29" s="5"/>
      <c r="B29" s="5" t="s">
        <v>18</v>
      </c>
      <c r="C29" s="5" t="s">
        <v>19</v>
      </c>
      <c r="D29" s="5" t="s">
        <v>20</v>
      </c>
      <c r="E29" s="5" t="s">
        <v>21</v>
      </c>
      <c r="F29" s="5" t="s">
        <v>22</v>
      </c>
    </row>
    <row r="30" customFormat="false" ht="15" hidden="false" customHeight="false" outlineLevel="0" collapsed="false">
      <c r="B30" s="6" t="n">
        <v>1</v>
      </c>
      <c r="C30" s="6" t="n">
        <v>2.706</v>
      </c>
      <c r="D30" s="6" t="n">
        <v>3.841</v>
      </c>
      <c r="E30" s="6" t="n">
        <v>5.024</v>
      </c>
      <c r="F30" s="6" t="n">
        <v>6.635</v>
      </c>
    </row>
    <row r="31" customFormat="false" ht="15" hidden="false" customHeight="false" outlineLevel="0" collapsed="false">
      <c r="B31" s="6" t="n">
        <v>2</v>
      </c>
      <c r="C31" s="6" t="n">
        <v>4.605</v>
      </c>
      <c r="D31" s="6" t="n">
        <v>5.991</v>
      </c>
      <c r="E31" s="6" t="n">
        <v>7.378</v>
      </c>
      <c r="F31" s="6" t="n">
        <v>9.21</v>
      </c>
    </row>
    <row r="32" customFormat="false" ht="15" hidden="false" customHeight="false" outlineLevel="0" collapsed="false">
      <c r="B32" s="6" t="n">
        <v>3</v>
      </c>
      <c r="C32" s="6" t="n">
        <v>6.251</v>
      </c>
      <c r="D32" s="6" t="n">
        <v>7.815</v>
      </c>
      <c r="E32" s="6" t="n">
        <v>9.348</v>
      </c>
      <c r="F32" s="6" t="n">
        <v>11.345</v>
      </c>
    </row>
    <row r="33" customFormat="false" ht="15" hidden="false" customHeight="false" outlineLevel="0" collapsed="false">
      <c r="B33" s="6" t="n">
        <v>4</v>
      </c>
      <c r="C33" s="6" t="n">
        <v>7.779</v>
      </c>
      <c r="D33" s="6" t="n">
        <v>9.488</v>
      </c>
      <c r="E33" s="6" t="n">
        <v>11.143</v>
      </c>
      <c r="F33" s="6" t="n">
        <v>13.277</v>
      </c>
    </row>
    <row r="34" customFormat="false" ht="15" hidden="false" customHeight="false" outlineLevel="0" collapsed="false">
      <c r="B34" s="6" t="n">
        <v>5</v>
      </c>
      <c r="C34" s="6" t="n">
        <v>9.236</v>
      </c>
      <c r="D34" s="6" t="n">
        <v>11.07</v>
      </c>
      <c r="E34" s="6" t="n">
        <v>12.833</v>
      </c>
      <c r="F34" s="6" t="n">
        <v>15.086</v>
      </c>
    </row>
    <row r="35" customFormat="false" ht="15" hidden="false" customHeight="false" outlineLevel="0" collapsed="false">
      <c r="B35" s="6" t="n">
        <v>6</v>
      </c>
      <c r="C35" s="6" t="n">
        <v>10.645</v>
      </c>
      <c r="D35" s="6" t="n">
        <v>12.592</v>
      </c>
      <c r="E35" s="6" t="n">
        <v>14.449</v>
      </c>
      <c r="F35" s="6" t="n">
        <v>16.812</v>
      </c>
    </row>
    <row r="36" customFormat="false" ht="15" hidden="false" customHeight="false" outlineLevel="0" collapsed="false">
      <c r="B36" s="6" t="n">
        <v>8</v>
      </c>
      <c r="C36" s="6" t="n">
        <v>13.362</v>
      </c>
      <c r="D36" s="6" t="n">
        <v>15.507</v>
      </c>
      <c r="E36" s="6" t="n">
        <v>17.535</v>
      </c>
      <c r="F36" s="6" t="n">
        <v>20.09</v>
      </c>
    </row>
    <row r="37" customFormat="false" ht="15" hidden="false" customHeight="false" outlineLevel="0" collapsed="false">
      <c r="B37" s="6" t="n">
        <v>10</v>
      </c>
      <c r="C37" s="6" t="n">
        <v>15.987</v>
      </c>
      <c r="D37" s="6" t="n">
        <v>18.307</v>
      </c>
      <c r="E37" s="6" t="n">
        <v>20.483</v>
      </c>
      <c r="F37" s="6" t="n">
        <v>23.209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6" min="5" style="0" width="22"/>
  </cols>
  <sheetData>
    <row r="1" customFormat="false" ht="17.35" hidden="false" customHeight="false" outlineLevel="0" collapsed="false">
      <c r="B1" s="1" t="s">
        <v>23</v>
      </c>
    </row>
    <row r="4" customFormat="false" ht="15" hidden="false" customHeight="false" outlineLevel="0" collapsed="false">
      <c r="B4" s="7" t="s">
        <v>24</v>
      </c>
    </row>
    <row r="5" customFormat="false" ht="52.2" hidden="false" customHeight="false" outlineLevel="0" collapsed="false">
      <c r="B5" s="3" t="s">
        <v>25</v>
      </c>
    </row>
    <row r="6" customFormat="false" ht="39.55" hidden="false" customHeight="false" outlineLevel="0" collapsed="false">
      <c r="B6" s="3" t="s">
        <v>26</v>
      </c>
    </row>
    <row r="8" customFormat="false" ht="15" hidden="false" customHeight="false" outlineLevel="0" collapsed="false">
      <c r="B8" s="4" t="s">
        <v>27</v>
      </c>
    </row>
    <row r="9" customFormat="false" ht="15" hidden="false" customHeight="false" outlineLevel="0" collapsed="false">
      <c r="B9" s="8" t="s">
        <v>28</v>
      </c>
    </row>
    <row r="10" customFormat="false" ht="15" hidden="false" customHeight="false" outlineLevel="0" collapsed="false">
      <c r="B10" s="8" t="s">
        <v>29</v>
      </c>
    </row>
    <row r="12" customFormat="false" ht="15" hidden="false" customHeight="false" outlineLevel="0" collapsed="false">
      <c r="B12" s="4" t="s">
        <v>30</v>
      </c>
    </row>
    <row r="13" customFormat="false" ht="15" hidden="false" customHeight="false" outlineLevel="0" collapsed="false">
      <c r="A13" s="5"/>
      <c r="B13" s="5" t="s">
        <v>31</v>
      </c>
      <c r="C13" s="5" t="s">
        <v>32</v>
      </c>
      <c r="D13" s="5" t="s">
        <v>33</v>
      </c>
      <c r="E13" s="5" t="s">
        <v>34</v>
      </c>
      <c r="F13" s="5" t="s">
        <v>35</v>
      </c>
    </row>
    <row r="14" customFormat="false" ht="15" hidden="false" customHeight="false" outlineLevel="0" collapsed="false">
      <c r="B14" s="9" t="n">
        <v>1</v>
      </c>
      <c r="C14" s="6" t="n">
        <v>25</v>
      </c>
      <c r="D14" s="6" t="n">
        <v>20</v>
      </c>
      <c r="E14" s="6" t="n">
        <f aca="false">C14-D14</f>
        <v>5</v>
      </c>
      <c r="F14" s="6" t="n">
        <f aca="false">(C14-D14)^2/D14</f>
        <v>1.25</v>
      </c>
    </row>
    <row r="15" customFormat="false" ht="15" hidden="false" customHeight="false" outlineLevel="0" collapsed="false">
      <c r="B15" s="9" t="n">
        <v>2</v>
      </c>
      <c r="C15" s="6" t="n">
        <v>17</v>
      </c>
      <c r="D15" s="6" t="n">
        <v>20</v>
      </c>
      <c r="E15" s="6" t="n">
        <f aca="false">C15-D15</f>
        <v>-3</v>
      </c>
      <c r="F15" s="6" t="n">
        <f aca="false">(C15-D15)^2/D15</f>
        <v>0.45</v>
      </c>
    </row>
    <row r="16" customFormat="false" ht="15" hidden="false" customHeight="false" outlineLevel="0" collapsed="false">
      <c r="B16" s="9" t="n">
        <v>3</v>
      </c>
      <c r="C16" s="6" t="n">
        <v>15</v>
      </c>
      <c r="D16" s="6" t="n">
        <v>20</v>
      </c>
      <c r="E16" s="6" t="n">
        <f aca="false">C16-D16</f>
        <v>-5</v>
      </c>
      <c r="F16" s="6" t="n">
        <f aca="false">(C16-D16)^2/D16</f>
        <v>1.25</v>
      </c>
    </row>
    <row r="17" customFormat="false" ht="15" hidden="false" customHeight="false" outlineLevel="0" collapsed="false">
      <c r="B17" s="9" t="n">
        <v>4</v>
      </c>
      <c r="C17" s="6" t="n">
        <v>23</v>
      </c>
      <c r="D17" s="6" t="n">
        <v>20</v>
      </c>
      <c r="E17" s="6" t="n">
        <f aca="false">C17-D17</f>
        <v>3</v>
      </c>
      <c r="F17" s="6" t="n">
        <f aca="false">(C17-D17)^2/D17</f>
        <v>0.45</v>
      </c>
    </row>
    <row r="18" customFormat="false" ht="15" hidden="false" customHeight="false" outlineLevel="0" collapsed="false">
      <c r="B18" s="9" t="n">
        <v>5</v>
      </c>
      <c r="C18" s="6" t="n">
        <v>24</v>
      </c>
      <c r="D18" s="6" t="n">
        <v>20</v>
      </c>
      <c r="E18" s="6" t="n">
        <f aca="false">C18-D18</f>
        <v>4</v>
      </c>
      <c r="F18" s="6" t="n">
        <f aca="false">(C18-D18)^2/D18</f>
        <v>0.8</v>
      </c>
    </row>
    <row r="19" customFormat="false" ht="15" hidden="false" customHeight="false" outlineLevel="0" collapsed="false">
      <c r="B19" s="9" t="n">
        <v>6</v>
      </c>
      <c r="C19" s="6" t="n">
        <v>16</v>
      </c>
      <c r="D19" s="6" t="n">
        <v>20</v>
      </c>
      <c r="E19" s="6" t="n">
        <f aca="false">C19-D19</f>
        <v>-4</v>
      </c>
      <c r="F19" s="6" t="n">
        <f aca="false">(C19-D19)^2/D19</f>
        <v>0.8</v>
      </c>
    </row>
    <row r="20" customFormat="false" ht="15" hidden="false" customHeight="false" outlineLevel="0" collapsed="false">
      <c r="B20" s="10" t="s">
        <v>36</v>
      </c>
      <c r="C20" s="10" t="n">
        <f aca="false">SUM(C14:C19)</f>
        <v>120</v>
      </c>
      <c r="D20" s="10" t="n">
        <f aca="false">SUM(D14:D19)</f>
        <v>120</v>
      </c>
      <c r="F20" s="11" t="n">
        <f aca="false">SUM(F14:F19)</f>
        <v>5</v>
      </c>
    </row>
    <row r="22" customFormat="false" ht="15" hidden="false" customHeight="false" outlineLevel="0" collapsed="false">
      <c r="B22" s="4" t="s">
        <v>37</v>
      </c>
    </row>
    <row r="23" customFormat="false" ht="15" hidden="false" customHeight="false" outlineLevel="0" collapsed="false">
      <c r="B23" s="8" t="s">
        <v>38</v>
      </c>
      <c r="C23" s="11" t="n">
        <f aca="false">F20</f>
        <v>5</v>
      </c>
    </row>
    <row r="25" customFormat="false" ht="15" hidden="false" customHeight="false" outlineLevel="0" collapsed="false">
      <c r="B25" s="4" t="s">
        <v>39</v>
      </c>
    </row>
    <row r="26" customFormat="false" ht="15" hidden="false" customHeight="false" outlineLevel="0" collapsed="false">
      <c r="B26" s="8" t="s">
        <v>40</v>
      </c>
    </row>
    <row r="28" customFormat="false" ht="15" hidden="false" customHeight="false" outlineLevel="0" collapsed="false">
      <c r="B28" s="4" t="s">
        <v>41</v>
      </c>
    </row>
    <row r="29" customFormat="false" ht="15" hidden="false" customHeight="false" outlineLevel="0" collapsed="false">
      <c r="B29" s="8" t="s">
        <v>42</v>
      </c>
    </row>
    <row r="30" customFormat="false" ht="15" hidden="false" customHeight="false" outlineLevel="0" collapsed="false">
      <c r="B30" s="12" t="s">
        <v>43</v>
      </c>
    </row>
    <row r="32" customFormat="false" ht="15" hidden="false" customHeight="false" outlineLevel="0" collapsed="false">
      <c r="B32" s="4" t="s">
        <v>44</v>
      </c>
    </row>
    <row r="33" customFormat="false" ht="15" hidden="false" customHeight="false" outlineLevel="0" collapsed="false">
      <c r="B33" s="8" t="s">
        <v>45</v>
      </c>
    </row>
    <row r="34" customFormat="false" ht="15" hidden="false" customHeight="false" outlineLevel="0" collapsed="false">
      <c r="B34" s="7" t="s">
        <v>46</v>
      </c>
    </row>
    <row r="36" customFormat="false" ht="15" hidden="false" customHeight="false" outlineLevel="0" collapsed="false">
      <c r="B36" s="4" t="s">
        <v>47</v>
      </c>
    </row>
    <row r="37" customFormat="false" ht="39.75" hidden="false" customHeight="true" outlineLevel="0" collapsed="false">
      <c r="B37" s="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5"/>
    <col collapsed="false" customWidth="true" hidden="false" outlineLevel="0" max="3" min="3" style="0" width="18"/>
  </cols>
  <sheetData>
    <row r="1" customFormat="false" ht="17.35" hidden="false" customHeight="false" outlineLevel="0" collapsed="false">
      <c r="B1" s="1" t="s">
        <v>49</v>
      </c>
    </row>
    <row r="4" customFormat="false" ht="15" hidden="false" customHeight="false" outlineLevel="0" collapsed="false">
      <c r="B4" s="4" t="s">
        <v>50</v>
      </c>
    </row>
    <row r="6" customFormat="false" ht="26.85" hidden="false" customHeight="false" outlineLevel="0" collapsed="false">
      <c r="B6" s="3" t="s">
        <v>51</v>
      </c>
    </row>
    <row r="7" customFormat="false" ht="15" hidden="false" customHeight="false" outlineLevel="0" collapsed="false">
      <c r="B7" s="8" t="s">
        <v>52</v>
      </c>
    </row>
    <row r="9" customFormat="false" ht="26.85" hidden="false" customHeight="false" outlineLevel="0" collapsed="false">
      <c r="B9" s="3" t="s">
        <v>53</v>
      </c>
    </row>
    <row r="10" customFormat="false" ht="15" hidden="false" customHeight="false" outlineLevel="0" collapsed="false">
      <c r="A10" s="5"/>
      <c r="B10" s="5" t="s">
        <v>54</v>
      </c>
      <c r="C10" s="5" t="s">
        <v>55</v>
      </c>
    </row>
    <row r="11" customFormat="false" ht="15" hidden="false" customHeight="false" outlineLevel="0" collapsed="false">
      <c r="B11" s="6" t="s">
        <v>56</v>
      </c>
      <c r="C11" s="6" t="n">
        <v>50</v>
      </c>
    </row>
    <row r="12" customFormat="false" ht="15" hidden="false" customHeight="false" outlineLevel="0" collapsed="false">
      <c r="B12" s="6" t="s">
        <v>57</v>
      </c>
      <c r="C12" s="6" t="n">
        <v>35</v>
      </c>
    </row>
    <row r="13" customFormat="false" ht="15" hidden="false" customHeight="false" outlineLevel="0" collapsed="false">
      <c r="B13" s="6" t="s">
        <v>58</v>
      </c>
      <c r="C13" s="6" t="n">
        <v>44</v>
      </c>
    </row>
    <row r="14" customFormat="false" ht="15" hidden="false" customHeight="false" outlineLevel="0" collapsed="false">
      <c r="B14" s="6" t="s">
        <v>59</v>
      </c>
      <c r="C14" s="6" t="n">
        <v>30</v>
      </c>
    </row>
    <row r="15" customFormat="false" ht="15" hidden="false" customHeight="false" outlineLevel="0" collapsed="false">
      <c r="B15" s="6" t="s">
        <v>60</v>
      </c>
      <c r="C15" s="6" t="n">
        <v>25</v>
      </c>
    </row>
    <row r="16" customFormat="false" ht="15" hidden="false" customHeight="false" outlineLevel="0" collapsed="false">
      <c r="B16" s="6" t="s">
        <v>61</v>
      </c>
      <c r="C16" s="6" t="n">
        <v>16</v>
      </c>
    </row>
    <row r="18" customFormat="false" ht="15" hidden="false" customHeight="false" outlineLevel="0" collapsed="false">
      <c r="B18" s="8" t="s">
        <v>62</v>
      </c>
    </row>
    <row r="19" customFormat="false" ht="15" hidden="false" customHeight="false" outlineLevel="0" collapsed="false">
      <c r="B19" s="8" t="s">
        <v>63</v>
      </c>
    </row>
    <row r="20" customFormat="false" ht="30" hidden="false" customHeight="true" outlineLevel="0" collapsed="false">
      <c r="B20" s="13" t="s">
        <v>64</v>
      </c>
    </row>
    <row r="24" customFormat="false" ht="15" hidden="false" customHeight="false" outlineLevel="0" collapsed="false">
      <c r="B24" s="4" t="s">
        <v>65</v>
      </c>
    </row>
    <row r="26" customFormat="false" ht="26.85" hidden="false" customHeight="false" outlineLevel="0" collapsed="false">
      <c r="B26" s="3" t="s">
        <v>66</v>
      </c>
    </row>
    <row r="27" customFormat="false" ht="15" hidden="false" customHeight="false" outlineLevel="0" collapsed="false">
      <c r="B27" s="8" t="s">
        <v>67</v>
      </c>
    </row>
    <row r="28" customFormat="false" ht="15" hidden="false" customHeight="false" outlineLevel="0" collapsed="false">
      <c r="A28" s="5"/>
      <c r="B28" s="5" t="s">
        <v>68</v>
      </c>
      <c r="C28" s="5" t="s">
        <v>55</v>
      </c>
    </row>
    <row r="29" customFormat="false" ht="15" hidden="false" customHeight="false" outlineLevel="0" collapsed="false">
      <c r="B29" s="6" t="s">
        <v>69</v>
      </c>
      <c r="C29" s="6" t="n">
        <v>120</v>
      </c>
    </row>
    <row r="30" customFormat="false" ht="15" hidden="false" customHeight="false" outlineLevel="0" collapsed="false">
      <c r="B30" s="6" t="s">
        <v>70</v>
      </c>
      <c r="C30" s="6" t="n">
        <v>90</v>
      </c>
    </row>
    <row r="31" customFormat="false" ht="15" hidden="false" customHeight="false" outlineLevel="0" collapsed="false">
      <c r="B31" s="6" t="s">
        <v>71</v>
      </c>
      <c r="C31" s="6" t="n">
        <v>95</v>
      </c>
    </row>
    <row r="32" customFormat="false" ht="15" hidden="false" customHeight="false" outlineLevel="0" collapsed="false">
      <c r="B32" s="6" t="s">
        <v>72</v>
      </c>
      <c r="C32" s="6" t="n">
        <v>85</v>
      </c>
    </row>
    <row r="33" customFormat="false" ht="15" hidden="false" customHeight="false" outlineLevel="0" collapsed="false">
      <c r="B33" s="6" t="s">
        <v>73</v>
      </c>
      <c r="C33" s="6" t="n">
        <v>110</v>
      </c>
    </row>
    <row r="35" customFormat="false" ht="15" hidden="false" customHeight="false" outlineLevel="0" collapsed="false">
      <c r="B35" s="8" t="s">
        <v>74</v>
      </c>
    </row>
    <row r="36" customFormat="false" ht="15" hidden="false" customHeight="false" outlineLevel="0" collapsed="false">
      <c r="B36" s="8" t="s">
        <v>75</v>
      </c>
    </row>
    <row r="37" customFormat="false" ht="30" hidden="false" customHeight="true" outlineLevel="0" collapsed="false">
      <c r="B37" s="13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2026-03-08T15:08:51Z</dcterms:created>
  <dc:creator>openpyxl</dc:creator>
  <dc:description/>
  <dc:language>en-US</dc:language>
  <cp:lastModifiedBy/>
  <dcterms:modified xsi:type="dcterms:W3CDTF">2026-03-08T15:08:51Z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