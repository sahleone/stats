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 1" sheetId="1" state="visible" r:id="rId3"/>
    <sheet name="Answer 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<sst xmlns="http://schemas.openxmlformats.org/spreadsheetml/2006/main" count="77" uniqueCount="39">
  <si>
    <t xml:space="preserve">Answer 1: Smoking Status and Exercise Level</t>
  </si>
  <si>
    <t xml:space="preserve">Step 1: State the Hypotheses</t>
  </si>
  <si>
    <t xml:space="preserve">H₀: Smoking status and exercise level are independent.</t>
  </si>
  <si>
    <t xml:space="preserve">H₁: Smoking status and exercise level are NOT independent.</t>
  </si>
  <si>
    <t xml:space="preserve">α = 0.05</t>
  </si>
  <si>
    <t xml:space="preserve">Step 2: Observed Frequencies</t>
  </si>
  <si>
    <t xml:space="preserve">Low</t>
  </si>
  <si>
    <t xml:space="preserve">Moderate</t>
  </si>
  <si>
    <t xml:space="preserve">High</t>
  </si>
  <si>
    <t xml:space="preserve">Row Total</t>
  </si>
  <si>
    <t xml:space="preserve">Non-Smoker</t>
  </si>
  <si>
    <t xml:space="preserve">Smoker</t>
  </si>
  <si>
    <t xml:space="preserve">Col Total</t>
  </si>
  <si>
    <t xml:space="preserve">Step 3: Expected Frequencies</t>
  </si>
  <si>
    <t xml:space="preserve">E = (Row Total × Col Total) / Grand Total</t>
  </si>
  <si>
    <t xml:space="preserve">Step 4: (O − E)² / E for Each Cell</t>
  </si>
  <si>
    <t xml:space="preserve">Step 5: Test Statistic</t>
  </si>
  <si>
    <t xml:space="preserve">χ² =</t>
  </si>
  <si>
    <t xml:space="preserve">Step 6: Degrees of Freedom</t>
  </si>
  <si>
    <t xml:space="preserve">df = (r − 1)(c − 1) = (2 − 1)(3 − 1) = 2</t>
  </si>
  <si>
    <t xml:space="preserve">Step 7: Critical Value</t>
  </si>
  <si>
    <t xml:space="preserve">At α = 0.05 with df = 2:  χ²_critical = 5.991</t>
  </si>
  <si>
    <t xml:space="preserve">Step 8: Decision</t>
  </si>
  <si>
    <t xml:space="preserve">χ²_calc ≈ 18.44 &gt; χ²_critical = 5.991</t>
  </si>
  <si>
    <t xml:space="preserve">Since χ²_calc &gt; χ²_critical, we REJECT H₀.</t>
  </si>
  <si>
    <t xml:space="preserve">Step 9: Conclusion</t>
  </si>
  <si>
    <t xml:space="preserve">At the 0.05 significance level, there is sufficient evidence to conclude that smoking status and exercise level are associated. Smokers tend to have lower exercise levels compared to non-smokers.</t>
  </si>
  <si>
    <t xml:space="preserve">Answer 2: Education Level and Job Satisfaction</t>
  </si>
  <si>
    <t xml:space="preserve">H₀: Education level and job satisfaction are independent.</t>
  </si>
  <si>
    <t xml:space="preserve">H₁: Education level and job satisfaction are NOT independent.</t>
  </si>
  <si>
    <t xml:space="preserve">α = 0.01</t>
  </si>
  <si>
    <t xml:space="preserve">Medium</t>
  </si>
  <si>
    <t xml:space="preserve">High School</t>
  </si>
  <si>
    <t xml:space="preserve">Bachelor's</t>
  </si>
  <si>
    <t xml:space="preserve">Graduate</t>
  </si>
  <si>
    <t xml:space="preserve">df = (r − 1)(c − 1) = (3 − 1)(3 − 1) = 4</t>
  </si>
  <si>
    <t xml:space="preserve">At α = 0.01 with df = 4:  χ²_critical = 13.277</t>
  </si>
  <si>
    <t xml:space="preserve">χ²_calc ≈ 52.64 &gt; χ²_critical = 13.277</t>
  </si>
  <si>
    <t xml:space="preserve">At the 0.01 significance level, there is very strong evidence to conclude that education level and job satisfaction are associated. Higher education levels appear to be associated with higher job satisfaction.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</si>
</sst>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b val="true"/>
      <sz val="11"/>
      <color rgb="FF2F5496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5" min="3" style="0" width="16"/>
    <col collapsed="false" customWidth="true" hidden="false" outlineLevel="0" max="6" min="6" style="0" width="18"/>
  </cols>
  <sheetData>
    <row r="1" customFormat="false" ht="17.35" hidden="false" customHeight="false" outlineLevel="0" collapsed="false">
      <c r="B1" s="1" t="s">
        <v>0</v>
      </c>
    </row>
    <row r="4" customFormat="false" ht="15" hidden="false" customHeight="false" outlineLevel="0" collapsed="false">
      <c r="B4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3" t="s">
        <v>3</v>
      </c>
    </row>
    <row r="7" customFormat="false" ht="15" hidden="false" customHeight="false" outlineLevel="0" collapsed="false">
      <c r="B7" s="3" t="s">
        <v>4</v>
      </c>
    </row>
    <row r="9" customFormat="false" ht="15" hidden="false" customHeight="false" outlineLevel="0" collapsed="false">
      <c r="B9" s="2" t="s">
        <v>5</v>
      </c>
    </row>
    <row r="10" customFormat="false" ht="15" hidden="false" customHeight="false" outlineLevel="0" collapsed="false">
      <c r="B10" s="4"/>
      <c r="C10" s="4" t="s">
        <v>6</v>
      </c>
      <c r="D10" s="4" t="s">
        <v>7</v>
      </c>
      <c r="E10" s="4" t="s">
        <v>8</v>
      </c>
      <c r="F10" s="4" t="s">
        <v>9</v>
      </c>
    </row>
    <row r="11" customFormat="false" ht="15" hidden="false" customHeight="false" outlineLevel="0" collapsed="false">
      <c r="B11" s="5" t="s">
        <v>10</v>
      </c>
      <c r="C11" s="5" t="n">
        <v>30</v>
      </c>
      <c r="D11" s="5" t="n">
        <v>60</v>
      </c>
      <c r="E11" s="5" t="n">
        <v>70</v>
      </c>
      <c r="F11" s="5" t="n">
        <v>160</v>
      </c>
    </row>
    <row r="12" customFormat="false" ht="15" hidden="false" customHeight="false" outlineLevel="0" collapsed="false">
      <c r="B12" s="5" t="s">
        <v>11</v>
      </c>
      <c r="C12" s="5" t="n">
        <v>50</v>
      </c>
      <c r="D12" s="5" t="n">
        <v>55</v>
      </c>
      <c r="E12" s="5" t="n">
        <v>35</v>
      </c>
      <c r="F12" s="5" t="n">
        <v>140</v>
      </c>
    </row>
    <row r="13" customFormat="false" ht="15" hidden="false" customHeight="false" outlineLevel="0" collapsed="false">
      <c r="B13" s="5" t="s">
        <v>12</v>
      </c>
      <c r="C13" s="5" t="n">
        <v>80</v>
      </c>
      <c r="D13" s="5" t="n">
        <v>115</v>
      </c>
      <c r="E13" s="5" t="n">
        <v>105</v>
      </c>
      <c r="F13" s="5" t="n">
        <v>300</v>
      </c>
    </row>
    <row r="15" customFormat="false" ht="15" hidden="false" customHeight="false" outlineLevel="0" collapsed="false">
      <c r="B15" s="2" t="s">
        <v>13</v>
      </c>
    </row>
    <row r="16" customFormat="false" ht="15" hidden="false" customHeight="false" outlineLevel="0" collapsed="false">
      <c r="B16" s="6" t="s">
        <v>14</v>
      </c>
    </row>
    <row r="17" customFormat="false" ht="15" hidden="false" customHeight="false" outlineLevel="0" collapsed="false">
      <c r="B17" s="4"/>
      <c r="C17" s="4" t="s">
        <v>6</v>
      </c>
      <c r="D17" s="4" t="s">
        <v>7</v>
      </c>
      <c r="E17" s="4" t="s">
        <v>8</v>
      </c>
    </row>
    <row r="18" customFormat="false" ht="15" hidden="false" customHeight="false" outlineLevel="0" collapsed="false">
      <c r="B18" s="7" t="s">
        <v>10</v>
      </c>
      <c r="C18" s="5" t="n">
        <f aca="false">F11*C13/F13</f>
        <v>42.6666666666667</v>
      </c>
      <c r="D18" s="5" t="n">
        <f aca="false">F11*D13/F13</f>
        <v>61.3333333333333</v>
      </c>
      <c r="E18" s="5" t="n">
        <f aca="false">F11*E13/F13</f>
        <v>56</v>
      </c>
    </row>
    <row r="19" customFormat="false" ht="15" hidden="false" customHeight="false" outlineLevel="0" collapsed="false">
      <c r="B19" s="7" t="s">
        <v>11</v>
      </c>
      <c r="C19" s="5" t="n">
        <f aca="false">F12*C13/F13</f>
        <v>37.3333333333333</v>
      </c>
      <c r="D19" s="5" t="n">
        <f aca="false">F12*D13/F13</f>
        <v>53.6666666666667</v>
      </c>
      <c r="E19" s="5" t="n">
        <f aca="false">F12*E13/F13</f>
        <v>49</v>
      </c>
    </row>
    <row r="21" customFormat="false" ht="15" hidden="false" customHeight="false" outlineLevel="0" collapsed="false">
      <c r="B21" s="2" t="s">
        <v>15</v>
      </c>
    </row>
    <row r="22" customFormat="false" ht="15" hidden="false" customHeight="false" outlineLevel="0" collapsed="false">
      <c r="B22" s="4"/>
      <c r="C22" s="4" t="s">
        <v>6</v>
      </c>
      <c r="D22" s="4" t="s">
        <v>7</v>
      </c>
      <c r="E22" s="4" t="s">
        <v>8</v>
      </c>
    </row>
    <row r="23" customFormat="false" ht="15" hidden="false" customHeight="false" outlineLevel="0" collapsed="false">
      <c r="B23" s="5" t="s">
        <v>10</v>
      </c>
      <c r="C23" s="5" t="n">
        <f aca="false">(C11-C18)^2/C18</f>
        <v>3.76041666666667</v>
      </c>
      <c r="D23" s="5" t="n">
        <f aca="false">(D11-D18)^2/D18</f>
        <v>0.0289855072463769</v>
      </c>
      <c r="E23" s="5" t="n">
        <f aca="false">(E11-E18)^2/E18</f>
        <v>3.5</v>
      </c>
    </row>
    <row r="24" customFormat="false" ht="15" hidden="false" customHeight="false" outlineLevel="0" collapsed="false">
      <c r="B24" s="5" t="s">
        <v>11</v>
      </c>
      <c r="C24" s="5" t="n">
        <f aca="false">(C12-C19)^2/C19</f>
        <v>4.29761904761905</v>
      </c>
      <c r="D24" s="5" t="n">
        <f aca="false">(D12-D19)^2/D19</f>
        <v>0.0331262939958593</v>
      </c>
      <c r="E24" s="5" t="n">
        <f aca="false">(E12-E19)^2/E19</f>
        <v>4</v>
      </c>
    </row>
    <row r="26" customFormat="false" ht="15" hidden="false" customHeight="false" outlineLevel="0" collapsed="false">
      <c r="B26" s="2" t="s">
        <v>16</v>
      </c>
    </row>
    <row r="27" customFormat="false" ht="15" hidden="false" customHeight="false" outlineLevel="0" collapsed="false">
      <c r="B27" s="3" t="s">
        <v>17</v>
      </c>
      <c r="C27" s="8" t="n">
        <f aca="false">SUM(C23:E24)</f>
        <v>15.6201475155279</v>
      </c>
    </row>
    <row r="29" customFormat="false" ht="15" hidden="false" customHeight="false" outlineLevel="0" collapsed="false">
      <c r="B29" s="2" t="s">
        <v>18</v>
      </c>
    </row>
    <row r="30" customFormat="false" ht="15" hidden="false" customHeight="false" outlineLevel="0" collapsed="false">
      <c r="B30" s="3" t="s">
        <v>19</v>
      </c>
    </row>
    <row r="32" customFormat="false" ht="15" hidden="false" customHeight="false" outlineLevel="0" collapsed="false">
      <c r="B32" s="2" t="s">
        <v>20</v>
      </c>
    </row>
    <row r="33" customFormat="false" ht="15" hidden="false" customHeight="false" outlineLevel="0" collapsed="false">
      <c r="B33" s="3" t="s">
        <v>21</v>
      </c>
    </row>
    <row r="35" customFormat="false" ht="15" hidden="false" customHeight="false" outlineLevel="0" collapsed="false">
      <c r="B35" s="2" t="s">
        <v>22</v>
      </c>
    </row>
    <row r="36" customFormat="false" ht="15" hidden="false" customHeight="false" outlineLevel="0" collapsed="false">
      <c r="B36" s="3" t="s">
        <v>23</v>
      </c>
    </row>
    <row r="37" customFormat="false" ht="15" hidden="false" customHeight="false" outlineLevel="0" collapsed="false">
      <c r="B37" s="9" t="s">
        <v>24</v>
      </c>
    </row>
    <row r="39" customFormat="false" ht="15" hidden="false" customHeight="false" outlineLevel="0" collapsed="false">
      <c r="B39" s="2" t="s">
        <v>25</v>
      </c>
    </row>
    <row r="40" customFormat="false" ht="45" hidden="false" customHeight="true" outlineLevel="0" collapsed="false">
      <c r="B40" s="10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5" min="3" style="0" width="16"/>
    <col collapsed="false" customWidth="true" hidden="false" outlineLevel="0" max="6" min="6" style="0" width="18"/>
  </cols>
  <sheetData>
    <row r="1" customFormat="false" ht="17.35" hidden="false" customHeight="false" outlineLevel="0" collapsed="false">
      <c r="B1" s="1" t="s">
        <v>27</v>
      </c>
    </row>
    <row r="4" customFormat="false" ht="15" hidden="false" customHeight="false" outlineLevel="0" collapsed="false">
      <c r="B4" s="2" t="s">
        <v>1</v>
      </c>
    </row>
    <row r="5" customFormat="false" ht="15" hidden="false" customHeight="false" outlineLevel="0" collapsed="false">
      <c r="B5" s="3" t="s">
        <v>28</v>
      </c>
    </row>
    <row r="6" customFormat="false" ht="15" hidden="false" customHeight="false" outlineLevel="0" collapsed="false">
      <c r="B6" s="3" t="s">
        <v>29</v>
      </c>
    </row>
    <row r="7" customFormat="false" ht="15" hidden="false" customHeight="false" outlineLevel="0" collapsed="false">
      <c r="B7" s="3" t="s">
        <v>30</v>
      </c>
    </row>
    <row r="9" customFormat="false" ht="15" hidden="false" customHeight="false" outlineLevel="0" collapsed="false">
      <c r="B9" s="2" t="s">
        <v>5</v>
      </c>
    </row>
    <row r="10" customFormat="false" ht="15" hidden="false" customHeight="false" outlineLevel="0" collapsed="false">
      <c r="B10" s="4"/>
      <c r="C10" s="4" t="s">
        <v>6</v>
      </c>
      <c r="D10" s="4" t="s">
        <v>31</v>
      </c>
      <c r="E10" s="4" t="s">
        <v>8</v>
      </c>
      <c r="F10" s="4" t="s">
        <v>9</v>
      </c>
    </row>
    <row r="11" customFormat="false" ht="15" hidden="false" customHeight="false" outlineLevel="0" collapsed="false">
      <c r="B11" s="5" t="s">
        <v>32</v>
      </c>
      <c r="C11" s="5" t="n">
        <v>40</v>
      </c>
      <c r="D11" s="5" t="n">
        <v>35</v>
      </c>
      <c r="E11" s="5" t="n">
        <v>25</v>
      </c>
      <c r="F11" s="5" t="n">
        <v>100</v>
      </c>
    </row>
    <row r="12" customFormat="false" ht="15" hidden="false" customHeight="false" outlineLevel="0" collapsed="false">
      <c r="B12" s="5" t="s">
        <v>33</v>
      </c>
      <c r="C12" s="5" t="n">
        <v>30</v>
      </c>
      <c r="D12" s="5" t="n">
        <v>55</v>
      </c>
      <c r="E12" s="5" t="n">
        <v>65</v>
      </c>
      <c r="F12" s="5" t="n">
        <v>150</v>
      </c>
    </row>
    <row r="13" customFormat="false" ht="15" hidden="false" customHeight="false" outlineLevel="0" collapsed="false">
      <c r="B13" s="5" t="s">
        <v>34</v>
      </c>
      <c r="C13" s="5" t="n">
        <v>10</v>
      </c>
      <c r="D13" s="5" t="n">
        <v>40</v>
      </c>
      <c r="E13" s="5" t="n">
        <v>100</v>
      </c>
      <c r="F13" s="5" t="n">
        <v>150</v>
      </c>
    </row>
    <row r="14" customFormat="false" ht="15" hidden="false" customHeight="false" outlineLevel="0" collapsed="false">
      <c r="B14" s="5" t="s">
        <v>12</v>
      </c>
      <c r="C14" s="5" t="n">
        <v>80</v>
      </c>
      <c r="D14" s="5" t="n">
        <v>130</v>
      </c>
      <c r="E14" s="5" t="n">
        <v>190</v>
      </c>
      <c r="F14" s="5" t="n">
        <v>400</v>
      </c>
    </row>
    <row r="16" customFormat="false" ht="15" hidden="false" customHeight="false" outlineLevel="0" collapsed="false">
      <c r="B16" s="2" t="s">
        <v>13</v>
      </c>
    </row>
    <row r="17" customFormat="false" ht="15" hidden="false" customHeight="false" outlineLevel="0" collapsed="false">
      <c r="B17" s="6" t="s">
        <v>14</v>
      </c>
    </row>
    <row r="18" customFormat="false" ht="15" hidden="false" customHeight="false" outlineLevel="0" collapsed="false">
      <c r="B18" s="4"/>
      <c r="C18" s="4" t="s">
        <v>6</v>
      </c>
      <c r="D18" s="4" t="s">
        <v>31</v>
      </c>
      <c r="E18" s="4" t="s">
        <v>8</v>
      </c>
    </row>
    <row r="19" customFormat="false" ht="15" hidden="false" customHeight="false" outlineLevel="0" collapsed="false">
      <c r="B19" s="7" t="s">
        <v>32</v>
      </c>
      <c r="C19" s="5" t="n">
        <f aca="false">F11*C14/F14</f>
        <v>20</v>
      </c>
      <c r="D19" s="5" t="n">
        <f aca="false">F11*D14/F14</f>
        <v>32.5</v>
      </c>
      <c r="E19" s="5" t="n">
        <f aca="false">F11*E14/F14</f>
        <v>47.5</v>
      </c>
    </row>
    <row r="20" customFormat="false" ht="15" hidden="false" customHeight="false" outlineLevel="0" collapsed="false">
      <c r="B20" s="7" t="s">
        <v>33</v>
      </c>
      <c r="C20" s="5" t="n">
        <f aca="false">F12*C14/F14</f>
        <v>30</v>
      </c>
      <c r="D20" s="5" t="n">
        <f aca="false">F12*D14/F14</f>
        <v>48.75</v>
      </c>
      <c r="E20" s="5" t="n">
        <f aca="false">F12*E14/F14</f>
        <v>71.25</v>
      </c>
    </row>
    <row r="21" customFormat="false" ht="15" hidden="false" customHeight="false" outlineLevel="0" collapsed="false">
      <c r="B21" s="7" t="s">
        <v>34</v>
      </c>
      <c r="C21" s="5" t="n">
        <f aca="false">F13*C14/F14</f>
        <v>30</v>
      </c>
      <c r="D21" s="5" t="n">
        <f aca="false">F13*D14/F14</f>
        <v>48.75</v>
      </c>
      <c r="E21" s="5" t="n">
        <f aca="false">F13*E14/F14</f>
        <v>71.25</v>
      </c>
    </row>
    <row r="23" customFormat="false" ht="15" hidden="false" customHeight="false" outlineLevel="0" collapsed="false">
      <c r="B23" s="2" t="s">
        <v>15</v>
      </c>
    </row>
    <row r="24" customFormat="false" ht="15" hidden="false" customHeight="false" outlineLevel="0" collapsed="false">
      <c r="B24" s="4"/>
      <c r="C24" s="4" t="s">
        <v>6</v>
      </c>
      <c r="D24" s="4" t="s">
        <v>31</v>
      </c>
      <c r="E24" s="4" t="s">
        <v>8</v>
      </c>
    </row>
    <row r="25" customFormat="false" ht="15" hidden="false" customHeight="false" outlineLevel="0" collapsed="false">
      <c r="B25" s="5" t="s">
        <v>32</v>
      </c>
      <c r="C25" s="5" t="n">
        <f aca="false">(C11-C19)^2/C19</f>
        <v>20</v>
      </c>
      <c r="D25" s="5" t="n">
        <f aca="false">(D11-D19)^2/D19</f>
        <v>0.192307692307692</v>
      </c>
      <c r="E25" s="5" t="n">
        <f aca="false">(E11-E19)^2/E19</f>
        <v>10.6578947368421</v>
      </c>
    </row>
    <row r="26" customFormat="false" ht="15" hidden="false" customHeight="false" outlineLevel="0" collapsed="false">
      <c r="B26" s="5" t="s">
        <v>33</v>
      </c>
      <c r="C26" s="5" t="n">
        <f aca="false">(C12-C20)^2/C20</f>
        <v>0</v>
      </c>
      <c r="D26" s="5" t="n">
        <f aca="false">(D12-D20)^2/D20</f>
        <v>0.801282051282051</v>
      </c>
      <c r="E26" s="5" t="n">
        <f aca="false">(E12-E20)^2/E20</f>
        <v>0.548245614035088</v>
      </c>
    </row>
    <row r="27" customFormat="false" ht="15" hidden="false" customHeight="false" outlineLevel="0" collapsed="false">
      <c r="B27" s="5" t="s">
        <v>34</v>
      </c>
      <c r="C27" s="5" t="n">
        <f aca="false">(C13-C21)^2/C21</f>
        <v>13.3333333333333</v>
      </c>
      <c r="D27" s="5" t="n">
        <f aca="false">(D13-D21)^2/D21</f>
        <v>1.57051282051282</v>
      </c>
      <c r="E27" s="5" t="n">
        <f aca="false">(E13-E21)^2/E21</f>
        <v>11.6008771929825</v>
      </c>
    </row>
    <row r="29" customFormat="false" ht="15" hidden="false" customHeight="false" outlineLevel="0" collapsed="false">
      <c r="B29" s="2" t="s">
        <v>16</v>
      </c>
    </row>
    <row r="30" customFormat="false" ht="15" hidden="false" customHeight="false" outlineLevel="0" collapsed="false">
      <c r="B30" s="3" t="s">
        <v>17</v>
      </c>
      <c r="C30" s="8" t="n">
        <f aca="false">SUM(C25:E27)</f>
        <v>58.7044534412955</v>
      </c>
    </row>
    <row r="32" customFormat="false" ht="15" hidden="false" customHeight="false" outlineLevel="0" collapsed="false">
      <c r="B32" s="2" t="s">
        <v>18</v>
      </c>
    </row>
    <row r="33" customFormat="false" ht="15" hidden="false" customHeight="false" outlineLevel="0" collapsed="false">
      <c r="B33" s="3" t="s">
        <v>35</v>
      </c>
    </row>
    <row r="35" customFormat="false" ht="15" hidden="false" customHeight="false" outlineLevel="0" collapsed="false">
      <c r="B35" s="2" t="s">
        <v>20</v>
      </c>
    </row>
    <row r="36" customFormat="false" ht="15" hidden="false" customHeight="false" outlineLevel="0" collapsed="false">
      <c r="B36" s="3" t="s">
        <v>36</v>
      </c>
    </row>
    <row r="38" customFormat="false" ht="15" hidden="false" customHeight="false" outlineLevel="0" collapsed="false">
      <c r="B38" s="2" t="s">
        <v>22</v>
      </c>
    </row>
    <row r="39" customFormat="false" ht="15" hidden="false" customHeight="false" outlineLevel="0" collapsed="false">
      <c r="B39" s="3" t="s">
        <v>37</v>
      </c>
    </row>
    <row r="40" customFormat="false" ht="15" hidden="false" customHeight="false" outlineLevel="0" collapsed="false">
      <c r="B40" s="9" t="s">
        <v>24</v>
      </c>
    </row>
    <row r="42" customFormat="false" ht="15" hidden="false" customHeight="false" outlineLevel="0" collapsed="false">
      <c r="B42" s="2" t="s">
        <v>25</v>
      </c>
    </row>
    <row r="43" customFormat="false" ht="45" hidden="false" customHeight="true" outlineLevel="0" collapsed="false">
      <c r="B43" s="10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2026-03-08T15:08:52Z</dcterms:created>
  <dc:creator>openpyxl</dc:creator>
  <dc:description/>
  <dc:language>en-US</dc:language>
  <cp:lastModifiedBy/>
  <dcterms:modified xsi:type="dcterms:W3CDTF">2026-03-08T15:08:52Z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