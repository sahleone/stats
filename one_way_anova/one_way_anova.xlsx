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Notes" sheetId="1" state="visible" r:id="rId1"/>
    <sheet xmlns:r="http://schemas.openxmlformats.org/officeDocument/2006/relationships" name="Worked Example" sheetId="2" state="visible" r:id="rId2"/>
    <sheet xmlns:r="http://schemas.openxmlformats.org/officeDocument/2006/relationships" name="Worked Example (Formulas)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2F5496"/>
      <sz val="14"/>
    </font>
    <font>
      <name val="Arial"/>
      <charset val="1"/>
      <family val="0"/>
      <b val="1"/>
      <color rgb="FF2F5496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2"/>
    </font>
    <font>
      <name val="Arial"/>
      <b val="1"/>
      <color rgb="002F5496"/>
      <sz val="14"/>
    </font>
    <font>
      <name val="Arial"/>
      <b val="1"/>
      <color rgb="002F5496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2"/>
    </font>
    <font>
      <name val="Arial"/>
      <i val="1"/>
      <sz val="10"/>
    </font>
  </fonts>
  <fills count="8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D6E4F0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00FFF2CC"/>
      </patternFill>
    </fill>
    <fill>
      <patternFill patternType="solid">
        <fgColor rgb="002F5496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7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7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left" vertical="top" wrapText="1"/>
    </xf>
    <xf numFmtId="0" fontId="11" fillId="0" borderId="0" applyAlignment="1" pivotButton="0" quotePrefix="0" xfId="0">
      <alignment horizontal="left" vertical="top" wrapText="1"/>
    </xf>
    <xf numFmtId="0" fontId="12" fillId="5" borderId="2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top" wrapText="1"/>
    </xf>
    <xf numFmtId="0" fontId="13" fillId="6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2" fillId="0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left" vertical="center" wrapText="1"/>
    </xf>
    <xf numFmtId="0" fontId="11" fillId="0" borderId="2" applyAlignment="1" pivotButton="0" quotePrefix="0" xfId="0">
      <alignment horizontal="center" vertical="center" wrapText="1"/>
    </xf>
    <xf numFmtId="0" fontId="11" fillId="5" borderId="2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top" wrapText="1"/>
    </xf>
    <xf numFmtId="0" fontId="12" fillId="0" borderId="2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1:B3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12" min="1" max="1"/>
    <col width="65" customWidth="1" style="12" min="2" max="2"/>
    <col width="30" customWidth="1" style="12" min="3" max="3"/>
  </cols>
  <sheetData>
    <row r="1" ht="17.35" customHeight="1" s="13">
      <c r="B1" s="14" t="inlineStr">
        <is>
          <t>One-Way ANOVA</t>
        </is>
      </c>
    </row>
    <row r="3" ht="15" customHeight="1" s="13">
      <c r="B3" s="15" t="inlineStr">
        <is>
          <t>Definition</t>
        </is>
      </c>
    </row>
    <row r="4" ht="48" customHeight="1" s="13">
      <c r="B4" s="16" t="inlineStr">
        <is>
          <t>One-way Analysis of Variance (ANOVA) tests whether the means of three or more independent groups are all equal. It extends the two-sample t-test to more than two groups.
'One-way' means there is a single factor (independent variable) with k levels (groups).</t>
        </is>
      </c>
    </row>
    <row r="6" ht="15" customHeight="1" s="13">
      <c r="B6" s="15" t="inlineStr">
        <is>
          <t>Hypotheses</t>
        </is>
      </c>
    </row>
    <row r="7" ht="63.75" customHeight="1" s="13">
      <c r="B7" s="16" t="inlineStr">
        <is>
          <t>H₀: μ₁ = μ₂ = μ₃ = ... = μₖ  (all group means are equal)
H₁: At least one group mean is different
Note: H₁ does NOT say all means differ — only that at least one is different from the rest.</t>
        </is>
      </c>
    </row>
    <row r="9" ht="15" customHeight="1" s="13">
      <c r="B9" s="15" t="inlineStr">
        <is>
          <t>Why Not Multiple t-Tests?</t>
        </is>
      </c>
    </row>
    <row r="10" ht="96" customHeight="1" s="13">
      <c r="B10" s="16" t="inlineStr">
        <is>
          <t>With k groups, you would need k(k−1)/2 pairwise t-tests. Each test has a Type I error rate of α, so the overall (familywise) error rate inflates rapidly.
Example: With 5 groups and α=0.05, you'd do 10 t-tests.
P(at least one false positive) = 1 − (1−0.05)¹⁰ ≈ 0.40 (40% error rate!)
ANOVA controls this by performing a single omnibus test.</t>
        </is>
      </c>
    </row>
    <row r="12" ht="15" customHeight="1" s="13">
      <c r="B12" s="15" t="inlineStr">
        <is>
          <t>The Logic of ANOVA</t>
        </is>
      </c>
    </row>
    <row r="13" ht="79.5" customHeight="1" s="13">
      <c r="B13" s="16" t="inlineStr">
        <is>
          <t>ANOVA compares two sources of variability:
  1. Between-group variability: How much the group means differ from each other
  2. Within-group variability: How much individual observations vary within each group
If the between-group variability is much larger than the within-group variability, the group means are likely different.</t>
        </is>
      </c>
    </row>
    <row r="15" ht="15" customHeight="1" s="13">
      <c r="B15" s="15" t="inlineStr">
        <is>
          <t>ANOVA Table</t>
        </is>
      </c>
    </row>
    <row r="16" ht="79.5" customHeight="1" s="13">
      <c r="B16" s="16" t="inlineStr">
        <is>
          <t>Source          | SS           | df      | MS           | F
────────────────|──────────────|─────────|──────────────|──────────
Between Groups  | SS_between   | k − 1   | SS_B/(k−1)   | MS_B/MS_W
Within Groups   | SS_within    | N − k   | SS_W/(N−k)   |
Total           | SS_total     | N − 1   |              |</t>
        </is>
      </c>
    </row>
    <row r="18" ht="15" customHeight="1" s="13">
      <c r="B18" s="15" t="inlineStr">
        <is>
          <t>Formulas</t>
        </is>
      </c>
    </row>
    <row r="19" ht="223.5" customHeight="1" s="13">
      <c r="B19" s="16" t="inlineStr">
        <is>
          <t>Grand mean: x̄ = (sum of all observations) / N
SS_between = Σ nᵢ(x̄ᵢ − x̄)²
  (sum of: each group size × squared difference of group mean from grand mean)
SS_within = Σ Σ (xᵢⱼ − x̄ᵢ)²
  (sum of: squared difference of each observation from its group mean)
SS_total = Σ Σ (xᵢⱼ − x̄)²  =  SS_between + SS_within
MS_between = SS_between / (k − 1)
MS_within  = SS_within / (N − k)
F = MS_between / MS_within</t>
        </is>
      </c>
    </row>
    <row r="21" ht="15" customHeight="1" s="13">
      <c r="B21" s="15" t="inlineStr">
        <is>
          <t>Decision Rule</t>
        </is>
      </c>
    </row>
    <row r="22" ht="63.75" customHeight="1" s="13">
      <c r="B22" s="16" t="inlineStr">
        <is>
          <t>Reject H₀ if F_calc &gt; F_critical at significance level α.
Alternatively, reject H₀ if p-value &lt; α.
The F-test is always one-tailed (right-tail only) because large F values indicate group differences.</t>
        </is>
      </c>
    </row>
    <row r="24" ht="15" customHeight="1" s="13">
      <c r="B24" s="15" t="inlineStr">
        <is>
          <t>Assumptions</t>
        </is>
      </c>
    </row>
    <row r="25" ht="48" customHeight="1" s="13">
      <c r="B25" s="16" t="inlineStr">
        <is>
          <t>1. Independence: Observations are independent within and across groups.
2. Normality: The populations from which the samples are drawn are approximately normal. (ANOVA is robust to mild violations if sample sizes are roughly equal.)
3. Equal Variances (Homogeneity): The population variances are equal across all groups: σ₁² = σ₂² = ... = σₖ². (Use Levene's test or the rule of thumb: largest s / smallest s &lt; 2.)</t>
        </is>
      </c>
    </row>
    <row r="27" ht="15" customHeight="1" s="13">
      <c r="B27" s="15" t="inlineStr">
        <is>
          <t>Effect Size: Eta-Squared (η²)</t>
        </is>
      </c>
    </row>
    <row r="28" ht="96" customHeight="1" s="13">
      <c r="B28" s="16" t="inlineStr">
        <is>
          <t>η² = SS_between / SS_total
Interpretation: The proportion of total variability explained by the grouping factor.
  η² ≈ 0.01 → small effect
  η² ≈ 0.06 → medium effect
  η² ≈ 0.14 → large effect</t>
        </is>
      </c>
    </row>
    <row r="30" ht="15" customHeight="1" s="13">
      <c r="B30" s="15" t="inlineStr">
        <is>
          <t>After ANOVA: Post-Hoc Tests</t>
        </is>
      </c>
    </row>
    <row r="31" ht="96" customHeight="1" s="13">
      <c r="B31" s="16" t="inlineStr">
        <is>
          <t>If you reject H₀, ANOVA only tells you that at least one mean differs — not which ones.
Use post-hoc pairwise comparisons to identify which groups differ:
  • Tukey's HSD (Honestly Significant Difference) — most common
  • Bonferroni correction — conservative, adjusts α for multiple comparisons
  • Scheffé's method — most conservative, allows all possible contrasts</t>
        </is>
      </c>
    </row>
    <row r="33" ht="15" customHeight="1" s="13">
      <c r="B33" s="15" t="inlineStr">
        <is>
          <t>Notation Summary</t>
        </is>
      </c>
    </row>
    <row r="34" ht="159.75" customHeight="1" s="13">
      <c r="B34" s="16" t="inlineStr">
        <is>
          <t>k = number of groups
nᵢ = sample size of group i
N = total sample size (n₁ + n₂ + ... + nₖ)
x̄ᵢ = mean of group i
x̄ = grand mean (mean of all observations)
SS = sum of squares
MS = mean square = SS / df
F = test statistic = MS_between / MS_within
α = significance level
η² = eta-squared (effect size)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1:F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12" min="1" max="1"/>
    <col width="24" customWidth="1" style="12" min="2" max="2"/>
    <col width="16" customWidth="1" style="12" min="3" max="7"/>
  </cols>
  <sheetData>
    <row r="1" ht="17.35" customHeight="1" s="13">
      <c r="B1" s="14" t="inlineStr">
        <is>
          <t>Worked Example: Teaching Methods</t>
        </is>
      </c>
    </row>
    <row r="4" ht="15" customHeight="1" s="13">
      <c r="B4" s="17" t="inlineStr">
        <is>
          <t>Problem:</t>
        </is>
      </c>
    </row>
    <row r="5" ht="30" customHeight="1" s="13">
      <c r="B5" s="16" t="inlineStr">
        <is>
          <t>A professor wants to know whether three different teaching methods lead to different exam scores. She randomly assigns 15 students to three groups (5 per group). Test at α = 0.05.</t>
        </is>
      </c>
    </row>
    <row r="7" ht="26.85" customHeight="1" s="13">
      <c r="B7" s="15" t="inlineStr">
        <is>
          <t>Step 1: State the Hypotheses</t>
        </is>
      </c>
    </row>
    <row r="8" ht="31.5" customHeight="1" s="13">
      <c r="B8" s="16" t="inlineStr">
        <is>
          <t>H₀: μ₁ = μ₂ = μ₃ (all teaching methods produce equal means)
H₁: At least one mean differs</t>
        </is>
      </c>
    </row>
    <row r="10" ht="15" customHeight="1" s="13">
      <c r="B10" s="15" t="inlineStr">
        <is>
          <t>Step 2: Data</t>
        </is>
      </c>
    </row>
    <row r="11" ht="15" customHeight="1" s="13">
      <c r="B11" s="18" t="n"/>
      <c r="C11" s="18" t="inlineStr">
        <is>
          <t>Method A</t>
        </is>
      </c>
      <c r="D11" s="18" t="inlineStr">
        <is>
          <t>Method B</t>
        </is>
      </c>
      <c r="E11" s="18" t="inlineStr">
        <is>
          <t>Method C</t>
        </is>
      </c>
    </row>
    <row r="12" ht="15" customHeight="1" s="13">
      <c r="B12" s="19" t="inlineStr">
        <is>
          <t>Student 1</t>
        </is>
      </c>
      <c r="C12" s="19" t="n">
        <v>78</v>
      </c>
      <c r="D12" s="19" t="n">
        <v>90</v>
      </c>
      <c r="E12" s="19" t="n">
        <v>70</v>
      </c>
    </row>
    <row r="13" ht="15" customHeight="1" s="13">
      <c r="B13" s="19" t="inlineStr">
        <is>
          <t>Student 2</t>
        </is>
      </c>
      <c r="C13" s="19" t="n">
        <v>85</v>
      </c>
      <c r="D13" s="19" t="n">
        <v>88</v>
      </c>
      <c r="E13" s="19" t="n">
        <v>72</v>
      </c>
    </row>
    <row r="14" ht="15" customHeight="1" s="13">
      <c r="B14" s="19" t="inlineStr">
        <is>
          <t>Student 3</t>
        </is>
      </c>
      <c r="C14" s="19" t="n">
        <v>82</v>
      </c>
      <c r="D14" s="19" t="n">
        <v>92</v>
      </c>
      <c r="E14" s="19" t="n">
        <v>68</v>
      </c>
    </row>
    <row r="15" ht="15" customHeight="1" s="13">
      <c r="B15" s="19" t="inlineStr">
        <is>
          <t>Student 4</t>
        </is>
      </c>
      <c r="C15" s="19" t="n">
        <v>80</v>
      </c>
      <c r="D15" s="19" t="n">
        <v>85</v>
      </c>
      <c r="E15" s="19" t="n">
        <v>74</v>
      </c>
    </row>
    <row r="16" ht="15" customHeight="1" s="13">
      <c r="B16" s="19" t="inlineStr">
        <is>
          <t>Student 5</t>
        </is>
      </c>
      <c r="C16" s="19" t="n">
        <v>75</v>
      </c>
      <c r="D16" s="19" t="n">
        <v>95</v>
      </c>
      <c r="E16" s="19" t="n">
        <v>66</v>
      </c>
    </row>
    <row r="17" ht="15" customHeight="1" s="13">
      <c r="B17" s="20" t="inlineStr">
        <is>
          <t>Group Mean</t>
        </is>
      </c>
      <c r="C17" s="21">
        <f>AVERAGE(C12:C16)</f>
        <v/>
      </c>
      <c r="D17" s="21">
        <f>AVERAGE(D12:D16)</f>
        <v/>
      </c>
      <c r="E17" s="21">
        <f>AVERAGE(E12:E16)</f>
        <v/>
      </c>
    </row>
    <row r="18" ht="15" customHeight="1" s="13">
      <c r="B18" s="20" t="inlineStr">
        <is>
          <t>Group n</t>
        </is>
      </c>
      <c r="C18" s="20">
        <f>COUNT(C12:C16)</f>
        <v/>
      </c>
      <c r="D18" s="20">
        <f>COUNT(D12:D16)</f>
        <v/>
      </c>
      <c r="E18" s="20">
        <f>COUNT(E12:E16)</f>
        <v/>
      </c>
    </row>
    <row r="20" ht="26.85" customHeight="1" s="13">
      <c r="B20" s="15" t="inlineStr">
        <is>
          <t>Step 3: Compute Grand Mean and Totals</t>
        </is>
      </c>
    </row>
    <row r="21" ht="15" customHeight="1" s="13">
      <c r="B21" s="22" t="inlineStr">
        <is>
          <t>Grand Mean (x̄) =</t>
        </is>
      </c>
      <c r="C21" s="23">
        <f>(SUM(C12:C16)+SUM(D12:D16)+SUM(E12:E16))/(C18+D18+E18)</f>
        <v/>
      </c>
    </row>
    <row r="22" ht="15" customHeight="1" s="13">
      <c r="B22" s="22" t="inlineStr">
        <is>
          <t>N (total) =</t>
        </is>
      </c>
      <c r="C22" s="20">
        <f>C18+D18+E18</f>
        <v/>
      </c>
    </row>
    <row r="23" ht="15" customHeight="1" s="13">
      <c r="B23" s="22" t="inlineStr">
        <is>
          <t>k (groups) =</t>
        </is>
      </c>
      <c r="C23" s="20" t="n">
        <v>3</v>
      </c>
    </row>
    <row r="25" ht="26.85" customHeight="1" s="13">
      <c r="B25" s="15" t="inlineStr">
        <is>
          <t>Step 4: Compute SS_between</t>
        </is>
      </c>
    </row>
    <row r="26" ht="30" customHeight="1" s="13">
      <c r="B26" s="16" t="inlineStr">
        <is>
          <t>SS_between = Σ nᵢ(x̄ᵢ − x̄)²</t>
        </is>
      </c>
    </row>
    <row r="27" ht="15" customHeight="1" s="13">
      <c r="B27" s="22" t="inlineStr">
        <is>
          <t>SS_between =</t>
        </is>
      </c>
      <c r="C27" s="23">
        <f>C18*(C17-C21)^2+D18*(D17-C21)^2+E18*(E17-C21)^2</f>
        <v/>
      </c>
    </row>
    <row r="29" ht="26.85" customHeight="1" s="13">
      <c r="B29" s="15" t="inlineStr">
        <is>
          <t>Step 5: Compute SS_within</t>
        </is>
      </c>
    </row>
    <row r="30" ht="30" customHeight="1" s="13">
      <c r="B30" s="16" t="inlineStr">
        <is>
          <t>SS_within = Σ Σ (xᵢⱼ − x̄ᵢ)²</t>
        </is>
      </c>
    </row>
    <row r="31" ht="15" customHeight="1" s="13">
      <c r="B31" s="22" t="inlineStr">
        <is>
          <t>SS_within =</t>
        </is>
      </c>
      <c r="C31" s="23">
        <f>SUMPRODUCT((C12:C16-C17)^2)+SUMPRODUCT((D12:D16-D17)^2)+SUMPRODUCT((E12:E16-E17)^2)</f>
        <v/>
      </c>
    </row>
    <row r="33" ht="15" customHeight="1" s="13">
      <c r="B33" s="15" t="inlineStr">
        <is>
          <t>Step 6: ANOVA Table</t>
        </is>
      </c>
    </row>
    <row r="34" ht="15" customHeight="1" s="13">
      <c r="B34" s="18" t="inlineStr">
        <is>
          <t>Source</t>
        </is>
      </c>
      <c r="C34" s="18" t="inlineStr">
        <is>
          <t>SS</t>
        </is>
      </c>
      <c r="D34" s="18" t="inlineStr">
        <is>
          <t>df</t>
        </is>
      </c>
      <c r="E34" s="18" t="inlineStr">
        <is>
          <t>MS</t>
        </is>
      </c>
      <c r="F34" s="18" t="inlineStr">
        <is>
          <t>F</t>
        </is>
      </c>
    </row>
    <row r="35" ht="15" customHeight="1" s="13">
      <c r="B35" s="19" t="inlineStr">
        <is>
          <t>Between</t>
        </is>
      </c>
      <c r="C35" s="19">
        <f>C27</f>
        <v/>
      </c>
      <c r="D35" s="19" t="n">
        <v>2</v>
      </c>
      <c r="E35" s="19">
        <f>C35/D35</f>
        <v/>
      </c>
      <c r="F35" s="24">
        <f>E35/E36</f>
        <v/>
      </c>
    </row>
    <row r="36" ht="15" customHeight="1" s="13">
      <c r="B36" s="19" t="inlineStr">
        <is>
          <t>Within</t>
        </is>
      </c>
      <c r="C36" s="19">
        <f>C31</f>
        <v/>
      </c>
      <c r="D36" s="19">
        <f>C22-3</f>
        <v/>
      </c>
      <c r="E36" s="19">
        <f>C36/D36</f>
        <v/>
      </c>
      <c r="F36" s="19" t="n"/>
    </row>
    <row r="37" ht="15" customHeight="1" s="13">
      <c r="B37" s="19" t="inlineStr">
        <is>
          <t>Total</t>
        </is>
      </c>
      <c r="C37" s="19">
        <f>C35+C36</f>
        <v/>
      </c>
      <c r="D37" s="19">
        <f>C22-1</f>
        <v/>
      </c>
      <c r="E37" s="19" t="n"/>
      <c r="F37" s="19" t="n"/>
    </row>
    <row r="39" ht="26.85" customHeight="1" s="13">
      <c r="B39" s="15" t="inlineStr">
        <is>
          <t>Step 7: Critical Value and Decision</t>
        </is>
      </c>
    </row>
    <row r="40" ht="31.5" customHeight="1" s="13">
      <c r="B40" s="16" t="inlineStr">
        <is>
          <t>df₁ = k−1 = 2, df₂ = N−k = 12
F_critical at α=0.05 with df=(2,12): F_crit = 3.885</t>
        </is>
      </c>
    </row>
    <row r="42" ht="15" customHeight="1" s="13">
      <c r="B42" s="22" t="inlineStr">
        <is>
          <t>F_calc =</t>
        </is>
      </c>
      <c r="C42" s="23">
        <f>F35</f>
        <v/>
      </c>
    </row>
    <row r="43" ht="30" customHeight="1" s="13">
      <c r="B43" s="16" t="inlineStr">
        <is>
          <t>Since F_calc &gt; 3.885, we REJECT H₀.</t>
        </is>
      </c>
    </row>
    <row r="45" ht="15" customHeight="1" s="13">
      <c r="B45" s="15" t="inlineStr">
        <is>
          <t>Step 8: Effect Size</t>
        </is>
      </c>
    </row>
    <row r="46" ht="15" customHeight="1" s="13">
      <c r="B46" s="22" t="inlineStr">
        <is>
          <t>η² = SS_between / SS_total =</t>
        </is>
      </c>
      <c r="C46" s="23">
        <f>C27/(C27+C31)</f>
        <v/>
      </c>
    </row>
    <row r="47" ht="30" customHeight="1" s="13">
      <c r="B47" s="16" t="inlineStr">
        <is>
          <t>η² ≈ 0.87 → Large effect. Teaching method explains about 87% of the variability in scores.</t>
        </is>
      </c>
    </row>
    <row r="49" ht="15" customHeight="1" s="13">
      <c r="B49" s="15" t="inlineStr">
        <is>
          <t>Step 9: Conclusion</t>
        </is>
      </c>
    </row>
    <row r="50" ht="49.5" customHeight="1" s="13">
      <c r="B50" s="16" t="inlineStr">
        <is>
          <t>At the 0.05 significance level, there is sufficient evidence to conclude that at least one teaching method produces a different mean exam score. The effect is large (η² ≈ 0.87). A post-hoc test (e.g., Tukey's HSD) is needed to determine which specific methods differ.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F69"/>
  <sheetViews>
    <sheetView workbookViewId="0">
      <selection activeCell="A1" sqref="A1"/>
    </sheetView>
  </sheetViews>
  <sheetFormatPr baseColWidth="8" defaultRowHeight="15"/>
  <cols>
    <col width="4" customWidth="1" style="13" min="1" max="1"/>
    <col width="42" customWidth="1" style="13" min="2" max="2"/>
    <col width="18" customWidth="1" style="13" min="3" max="3"/>
    <col width="18" customWidth="1" style="13" min="4" max="4"/>
    <col width="18" customWidth="1" style="13" min="5" max="5"/>
    <col width="18" customWidth="1" style="13" min="6" max="6"/>
  </cols>
  <sheetData>
    <row r="1">
      <c r="B1" s="25" t="inlineStr">
        <is>
          <t>Worked Example (Formulas): Teaching Methods</t>
        </is>
      </c>
    </row>
    <row r="3">
      <c r="B3" s="26" t="inlineStr">
        <is>
          <t>Parameters</t>
        </is>
      </c>
    </row>
    <row r="4">
      <c r="B4" s="27" t="inlineStr">
        <is>
          <t>Significance Level (α)</t>
        </is>
      </c>
      <c r="C4" s="28" t="n">
        <v>0.05</v>
      </c>
    </row>
    <row r="6">
      <c r="B6" s="26" t="inlineStr">
        <is>
          <t>Problem:</t>
        </is>
      </c>
    </row>
    <row r="7" ht="48" customHeight="1" s="13">
      <c r="B7" s="29" t="inlineStr">
        <is>
          <t>A professor wants to know whether three different teaching methods lead to different exam scores. She randomly assigns 15 students to three groups (5 per group). Test at α = 0.05.</t>
        </is>
      </c>
    </row>
    <row r="9">
      <c r="B9" s="26" t="inlineStr">
        <is>
          <t>Step 1: State the Hypotheses</t>
        </is>
      </c>
    </row>
    <row r="10" ht="30" customHeight="1" s="13">
      <c r="B10" s="29" t="inlineStr">
        <is>
          <t>H₀: μ₁ = μ₂ = μ₃ (all teaching methods produce equal means)</t>
        </is>
      </c>
    </row>
    <row r="11" ht="30" customHeight="1" s="13">
      <c r="B11" s="29" t="inlineStr">
        <is>
          <t>H₁: At least one mean differs</t>
        </is>
      </c>
    </row>
    <row r="13">
      <c r="B13" s="26" t="inlineStr">
        <is>
          <t>Step 2: Data</t>
        </is>
      </c>
    </row>
    <row r="14">
      <c r="C14" s="30" t="inlineStr">
        <is>
          <t>Method A</t>
        </is>
      </c>
      <c r="D14" s="30" t="inlineStr">
        <is>
          <t>Method B</t>
        </is>
      </c>
      <c r="E14" s="30" t="inlineStr">
        <is>
          <t>Method C</t>
        </is>
      </c>
    </row>
    <row r="15">
      <c r="B15" s="31" t="inlineStr">
        <is>
          <t>Student 1</t>
        </is>
      </c>
      <c r="C15" s="32" t="n">
        <v>78</v>
      </c>
      <c r="D15" s="32" t="n">
        <v>90</v>
      </c>
      <c r="E15" s="32" t="n">
        <v>70</v>
      </c>
    </row>
    <row r="16">
      <c r="B16" s="31" t="inlineStr">
        <is>
          <t>Student 2</t>
        </is>
      </c>
      <c r="C16" s="32" t="n">
        <v>85</v>
      </c>
      <c r="D16" s="32" t="n">
        <v>88</v>
      </c>
      <c r="E16" s="32" t="n">
        <v>72</v>
      </c>
    </row>
    <row r="17">
      <c r="B17" s="31" t="inlineStr">
        <is>
          <t>Student 3</t>
        </is>
      </c>
      <c r="C17" s="32" t="n">
        <v>82</v>
      </c>
      <c r="D17" s="32" t="n">
        <v>92</v>
      </c>
      <c r="E17" s="32" t="n">
        <v>68</v>
      </c>
    </row>
    <row r="18">
      <c r="B18" s="31" t="inlineStr">
        <is>
          <t>Student 4</t>
        </is>
      </c>
      <c r="C18" s="32" t="n">
        <v>80</v>
      </c>
      <c r="D18" s="32" t="n">
        <v>85</v>
      </c>
      <c r="E18" s="32" t="n">
        <v>74</v>
      </c>
    </row>
    <row r="19">
      <c r="B19" s="31" t="inlineStr">
        <is>
          <t>Student 5</t>
        </is>
      </c>
      <c r="C19" s="32" t="n">
        <v>75</v>
      </c>
      <c r="D19" s="32" t="n">
        <v>95</v>
      </c>
      <c r="E19" s="32" t="n">
        <v>66</v>
      </c>
    </row>
    <row r="20">
      <c r="B20" s="33" t="inlineStr">
        <is>
          <t>Group Mean</t>
        </is>
      </c>
      <c r="C20" s="34">
        <f>AVERAGE(C15:C19)</f>
        <v/>
      </c>
      <c r="D20" s="34">
        <f>AVERAGE(D15:D19)</f>
        <v/>
      </c>
      <c r="E20" s="34">
        <f>AVERAGE(E15:E19)</f>
        <v/>
      </c>
    </row>
    <row r="21">
      <c r="B21" s="33" t="inlineStr">
        <is>
          <t>Group n</t>
        </is>
      </c>
      <c r="C21" s="34">
        <f>COUNT(C15:C19)</f>
        <v/>
      </c>
      <c r="D21" s="34">
        <f>COUNT(D15:D19)</f>
        <v/>
      </c>
      <c r="E21" s="34">
        <f>COUNT(E15:E19)</f>
        <v/>
      </c>
    </row>
    <row r="23">
      <c r="B23" s="26" t="inlineStr">
        <is>
          <t>Step 3: Grand Mean and Totals</t>
        </is>
      </c>
    </row>
    <row r="24">
      <c r="B24" s="27" t="inlineStr">
        <is>
          <t>Grand Mean (x̄) =</t>
        </is>
      </c>
      <c r="C24" s="32">
        <f>(SUM(C15:C19)+SUM(D15:D19)+SUM(E15:E19))/(C21+D21+E21)</f>
        <v/>
      </c>
    </row>
    <row r="25">
      <c r="B25" s="27" t="inlineStr">
        <is>
          <t>N (total) =</t>
        </is>
      </c>
      <c r="C25" s="32">
        <f>C21+D21+E21</f>
        <v/>
      </c>
    </row>
    <row r="26">
      <c r="B26" s="27" t="inlineStr">
        <is>
          <t>k (groups) =</t>
        </is>
      </c>
      <c r="C26" s="32" t="n">
        <v>3</v>
      </c>
    </row>
    <row r="28">
      <c r="B28" s="26" t="inlineStr">
        <is>
          <t>Step 4: Compute SS_between</t>
        </is>
      </c>
    </row>
    <row r="29" ht="30" customHeight="1" s="13">
      <c r="B29" s="29" t="inlineStr">
        <is>
          <t>SS_between = Σ nᵢ(x̄ᵢ − x̄)²</t>
        </is>
      </c>
    </row>
    <row r="30">
      <c r="B30" s="27" t="inlineStr">
        <is>
          <t>SS_between =</t>
        </is>
      </c>
      <c r="C30" s="32">
        <f>C21*(C20-C24)^2+D21*(D20-C24)^2+E21*(E20-C24)^2</f>
        <v/>
      </c>
    </row>
    <row r="32">
      <c r="B32" s="26" t="inlineStr">
        <is>
          <t>Step 5: Compute SS_within</t>
        </is>
      </c>
    </row>
    <row r="33" ht="30" customHeight="1" s="13">
      <c r="B33" s="29" t="inlineStr">
        <is>
          <t>SS_within = Σ Σ (xᵢⱼ − x̄ᵢ)²</t>
        </is>
      </c>
    </row>
    <row r="34">
      <c r="B34" s="27" t="inlineStr">
        <is>
          <t>SS_within =</t>
        </is>
      </c>
      <c r="C34" s="32">
        <f>SUMPRODUCT((C15:C19-C20)^2)+SUMPRODUCT((D15:D19-D20)^2)+SUMPRODUCT((E15:E19-E20)^2)</f>
        <v/>
      </c>
    </row>
    <row r="36">
      <c r="B36" s="26" t="inlineStr">
        <is>
          <t>Step 6: ANOVA Table</t>
        </is>
      </c>
    </row>
    <row r="37">
      <c r="B37" s="30" t="inlineStr">
        <is>
          <t>Source</t>
        </is>
      </c>
      <c r="C37" s="30" t="inlineStr">
        <is>
          <t>SS</t>
        </is>
      </c>
      <c r="D37" s="30" t="inlineStr">
        <is>
          <t>df</t>
        </is>
      </c>
      <c r="E37" s="30" t="inlineStr">
        <is>
          <t>MS</t>
        </is>
      </c>
      <c r="F37" s="30" t="inlineStr">
        <is>
          <t>F</t>
        </is>
      </c>
    </row>
    <row r="38">
      <c r="B38" s="31" t="inlineStr">
        <is>
          <t>Between</t>
        </is>
      </c>
      <c r="C38" s="32">
        <f>C30</f>
        <v/>
      </c>
      <c r="D38" s="32">
        <f>C26-1</f>
        <v/>
      </c>
      <c r="E38" s="32">
        <f>C38/D38</f>
        <v/>
      </c>
      <c r="F38" s="32">
        <f>E38/E39</f>
        <v/>
      </c>
    </row>
    <row r="39">
      <c r="B39" s="31" t="inlineStr">
        <is>
          <t>Within</t>
        </is>
      </c>
      <c r="C39" s="32">
        <f>C34</f>
        <v/>
      </c>
      <c r="D39" s="32">
        <f>C25-C26</f>
        <v/>
      </c>
      <c r="E39" s="32">
        <f>C39/D39</f>
        <v/>
      </c>
    </row>
    <row r="40">
      <c r="B40" s="33" t="inlineStr">
        <is>
          <t>Total</t>
        </is>
      </c>
      <c r="C40" s="34">
        <f>C38+C39</f>
        <v/>
      </c>
      <c r="D40" s="34">
        <f>C25-1</f>
        <v/>
      </c>
    </row>
    <row r="42">
      <c r="B42" s="26" t="inlineStr">
        <is>
          <t>Step 7: Critical Value and P-Value</t>
        </is>
      </c>
    </row>
    <row r="43">
      <c r="B43" s="27" t="inlineStr">
        <is>
          <t>df₁ (between) =</t>
        </is>
      </c>
      <c r="C43" s="32">
        <f>D38</f>
        <v/>
      </c>
    </row>
    <row r="44">
      <c r="B44" s="27" t="inlineStr">
        <is>
          <t>df₂ (within) =</t>
        </is>
      </c>
      <c r="C44" s="32">
        <f>D39</f>
        <v/>
      </c>
    </row>
    <row r="45">
      <c r="B45" s="27" t="inlineStr">
        <is>
          <t>F_critical =</t>
        </is>
      </c>
      <c r="C45" s="35">
        <f>F.INV.RT($C$4,D38,D39)</f>
        <v/>
      </c>
    </row>
    <row r="46">
      <c r="B46" s="27" t="inlineStr">
        <is>
          <t>F_calc =</t>
        </is>
      </c>
      <c r="C46" s="35">
        <f>F38</f>
        <v/>
      </c>
    </row>
    <row r="47">
      <c r="B47" s="27" t="inlineStr">
        <is>
          <t>p-value =</t>
        </is>
      </c>
      <c r="C47" s="35">
        <f>F.DIST.RT(F38,D38,D39)</f>
        <v/>
      </c>
    </row>
    <row r="49">
      <c r="B49" s="26" t="inlineStr">
        <is>
          <t>Step 8: Decision</t>
        </is>
      </c>
    </row>
    <row r="50">
      <c r="B50" s="27" t="inlineStr">
        <is>
          <t>Decision (by critical value):</t>
        </is>
      </c>
      <c r="C50" s="35">
        <f>IF(C46&gt;C45,"Reject H₀","Fail to Reject H₀")</f>
        <v/>
      </c>
    </row>
    <row r="51">
      <c r="B51" s="27" t="inlineStr">
        <is>
          <t>Decision (by p-value):</t>
        </is>
      </c>
      <c r="C51" s="35">
        <f>IF(C47&lt;$C$4,"Reject H₀","Fail to Reject H₀")</f>
        <v/>
      </c>
    </row>
    <row r="53">
      <c r="B53" s="26" t="inlineStr">
        <is>
          <t>Step 9: Effect Size</t>
        </is>
      </c>
    </row>
    <row r="54">
      <c r="B54" s="27" t="inlineStr">
        <is>
          <t>η² = SS_between / SS_total =</t>
        </is>
      </c>
      <c r="C54" s="35">
        <f>C30/C40</f>
        <v/>
      </c>
    </row>
    <row r="55">
      <c r="B55" s="36" t="inlineStr">
        <is>
          <t>η² ≈ 0.87 → Large effect. Teaching method explains about 87% of the variability in scores.</t>
        </is>
      </c>
    </row>
    <row r="57">
      <c r="B57" s="26" t="inlineStr">
        <is>
          <t>Step 10: Conclusion</t>
        </is>
      </c>
    </row>
    <row r="58" ht="64" customHeight="1" s="13">
      <c r="B58" s="29" t="inlineStr">
        <is>
          <t>At the 0.05 significance level, there is sufficient evidence to conclude that at least one teaching method produces a different mean exam score. The effect is large (η² ≈ 0.87). A post-hoc test (e.g., Tukey's HSD) is needed to determine which specific methods differ.</t>
        </is>
      </c>
    </row>
    <row r="62">
      <c r="B62" s="26" t="inlineStr">
        <is>
          <t>Excel Functions Used in This Example</t>
        </is>
      </c>
    </row>
    <row r="63">
      <c r="B63" s="30" t="inlineStr">
        <is>
          <t>Function</t>
        </is>
      </c>
      <c r="C63" s="30" t="inlineStr">
        <is>
          <t>What It Does</t>
        </is>
      </c>
      <c r="D63" s="30" t="inlineStr">
        <is>
          <t>Example</t>
        </is>
      </c>
    </row>
    <row r="64" ht="32" customHeight="1" s="13">
      <c r="B64" s="37">
        <f>F.INV.RT(α, df1, df2)</f>
        <v/>
      </c>
      <c r="C64" s="37" t="inlineStr">
        <is>
          <t>Returns the critical value for a right-tailed F test</t>
        </is>
      </c>
      <c r="D64" s="37">
        <f>F.INV.RT(0.05, 2, 12) → 3.885</f>
        <v/>
      </c>
    </row>
    <row r="65" ht="32" customHeight="1" s="13">
      <c r="B65" s="37">
        <f>F.DIST.RT(F, df1, df2)</f>
        <v/>
      </c>
      <c r="C65" s="37" t="inlineStr">
        <is>
          <t>Returns the p-value (right-tail area) for an F statistic</t>
        </is>
      </c>
      <c r="D65" s="37">
        <f>F.DIST.RT(40.7, 2, 12) → &lt;0.0001</f>
        <v/>
      </c>
    </row>
    <row r="66" ht="32" customHeight="1" s="13">
      <c r="B66" s="37">
        <f>AVERAGE(range)</f>
        <v/>
      </c>
      <c r="C66" s="37" t="inlineStr">
        <is>
          <t>Returns the arithmetic mean of a range</t>
        </is>
      </c>
      <c r="D66" s="37">
        <f>AVERAGE(C12:C16) → group mean</f>
        <v/>
      </c>
    </row>
    <row r="67" ht="32" customHeight="1" s="13">
      <c r="B67" s="37">
        <f>COUNT(range)</f>
        <v/>
      </c>
      <c r="C67" s="37" t="inlineStr">
        <is>
          <t>Counts the number of numeric values in a range</t>
        </is>
      </c>
      <c r="D67" s="37">
        <f>COUNT(C12:C16) → 5</f>
        <v/>
      </c>
    </row>
    <row r="68" ht="32" customHeight="1" s="13">
      <c r="B68" s="37">
        <f>SUMPRODUCT((range-mean)^2)</f>
        <v/>
      </c>
      <c r="C68" s="37" t="inlineStr">
        <is>
          <t>Sum of squared deviations from the mean</t>
        </is>
      </c>
      <c r="D68" s="37">
        <f>SUMPRODUCT((C12:C16-C17)^2) → SS for group</f>
        <v/>
      </c>
    </row>
    <row r="69" ht="32" customHeight="1" s="13">
      <c r="B69" s="37">
        <f>IF(test, true, false)</f>
        <v/>
      </c>
      <c r="C69" s="37" t="inlineStr">
        <is>
          <t>Returns one value if TRUE, another if FALSE</t>
        </is>
      </c>
      <c r="D69" s="37">
        <f>IF(F&gt;F_crit, "Reject H₀", "Fail to Reject H₀")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2026-03-09T09:09:47Z</dcterms:created>
  <dcterms:modified xmlns:dcterms="http://purl.org/dc/terms/" xmlns:xsi="http://www.w3.org/2001/XMLSchema-instance" xsi:type="dcterms:W3CDTF">2026-03-09T10:51:20Z</dcterms:modified>
  <cp:revision>0</cp:revision>
</cp:coreProperties>
</file>