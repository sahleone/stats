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Worked Exam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<sst xmlns="http://schemas.openxmlformats.org/spreadsheetml/2006/main" count="67" uniqueCount="67">
  <si>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One-Way ANOVA</t>
  </si>
  <si>
    <t xml:space="preserve">Definition</t>
  </si>
  <si>
    <t xml:space="preserve">One-way Analysis of Variance (ANOVA) tests whether the means of three or more independent groups are all equal. It extends the two-sample t-test to more than two groups.
'One-way' means there is a single factor (independent variable) with k levels (groups).</t>
  </si>
  <si>
    <t xml:space="preserve">Hypotheses</t>
  </si>
  <si>
    <t xml:space="preserve">H₀: μ₁ = μ₂ = μ₃ = ... = μₖ  (all group means are equal)
H₁: At least one group mean is different
Note: H₁ does NOT say all means differ — only that at least one is different from the rest.</t>
  </si>
  <si>
    <t xml:space="preserve">Why Not Multiple t-Tests?</t>
  </si>
  <si>
    <t xml:space="preserve">With k groups, you would need k(k−1)/2 pairwise t-tests. Each test has a Type I error rate of α, so the overall (familywise) error rate inflates rapidly.
Example: With 5 groups and α=0.05, you'd do 10 t-tests.
P(at least one false positive) = 1 − (1−0.05)¹⁰ ≈ 0.40 (40% error rate!)
ANOVA controls this by performing a single omnibus test.</t>
  </si>
  <si>
    <t xml:space="preserve">The Logic of ANOVA</t>
  </si>
  <si>
    <t xml:space="preserve">ANOVA compares two sources of variability:
  1. Between-group variability: How much the group means differ from each other
  2. Within-group variability: How much individual observations vary within each group
If the between-group variability is much larger than the within-group variability, the group means are likely different.</t>
  </si>
  <si>
    <t xml:space="preserve">ANOVA Table</t>
  </si>
  <si>
    <t xml:space="preserve">Source          | SS           | df      | MS           | F
────────────────|──────────────|─────────|──────────────|──────────
Between Groups  | SS_between   | k − 1   | SS_B/(k−1)   | MS_B/MS_W
Within Groups   | SS_within    | N − k   | SS_W/(N−k)   |
Total           | SS_total     | N − 1   |              |</t>
  </si>
  <si>
    <t xml:space="preserve">Formulas</t>
  </si>
  <si>
    <t xml:space="preserve">Grand mean: x̄ = (sum of all observations) / N
SS_between = Σ nᵢ(x̄ᵢ − x̄)²
  (sum of: each group size × squared difference of group mean from grand mean)
SS_within = Σ Σ (xᵢⱼ − x̄ᵢ)²
  (sum of: squared difference of each observation from its group mean)
SS_total = Σ Σ (xᵢⱼ − x̄)²  =  SS_between + SS_within
MS_between = SS_between / (k − 1)
MS_within  = SS_within / (N − k)
F = MS_between / MS_within</t>
  </si>
  <si>
    <t xml:space="preserve">Decision Rule</t>
  </si>
  <si>
    <t xml:space="preserve">Reject H₀ if F_calc &gt; F_critical at significance level α.
Alternatively, reject H₀ if p-value &lt; α.
The F-test is always one-tailed (right-tail only) because large F values indicate group differences.</t>
  </si>
  <si>
    <t xml:space="preserve">Assumptions</t>
  </si>
  <si>
    <t xml:space="preserve">1. Independence: Observations are independent within and across groups.
2. Normality: The populations from which the samples are drawn are approximately normal. (ANOVA is robust to mild violations if sample sizes are roughly equal.)
3. Equal Variances (Homogeneity): The population variances are equal across all groups: σ₁² = σ₂² = ... = σₖ². (Use Levene's test or the rule of thumb: largest s / smallest s &lt; 2.)</t>
  </si>
  <si>
    <t xml:space="preserve">Effect Size: Eta-Squared (η²)</t>
  </si>
  <si>
    <t xml:space="preserve">η² = SS_between / SS_total
Interpretation: The proportion of total variability explained by the grouping factor.
  η² ≈ 0.01 → small effect
  η² ≈ 0.06 → medium effect
  η² ≈ 0.14 → large effect</t>
  </si>
  <si>
    <t xml:space="preserve">After ANOVA: Post-Hoc Tests</t>
  </si>
  <si>
    <t xml:space="preserve">If you reject H₀, ANOVA only tells you that at least one mean differs — not which ones.
Use post-hoc pairwise comparisons to identify which groups differ:
  • Tukey's HSD (Honestly Significant Difference) — most common
  • Bonferroni correction — conservative, adjusts α for multiple comparisons
  • Scheffé's method — most conservative, allows all possible contrasts</t>
  </si>
  <si>
    <t xml:space="preserve">Notation Summary</t>
  </si>
  <si>
    <t xml:space="preserve">k = number of groups
nᵢ = sample size of group i
N = total sample size (n₁ + n₂ + ... + nₖ)
x̄ᵢ = mean of group i
x̄ = grand mean (mean of all observations)
SS = sum of squares
MS = mean square = SS / df
F = test statistic = MS_between / MS_within
α = significance level
η² = eta-squared (effect size)</t>
  </si>
  <si>
    <t xml:space="preserve">Worked Example: Teaching Methods</t>
  </si>
  <si>
    <t xml:space="preserve">Problem:</t>
  </si>
  <si>
    <t xml:space="preserve">A professor wants to know whether three different teaching methods lead to different exam scores. She randomly assigns 15 students to three groups (5 per group). Test at α = 0.05.</t>
  </si>
  <si>
    <t xml:space="preserve">Step 1: State the Hypotheses</t>
  </si>
  <si>
    <t xml:space="preserve">H₀: μ₁ = μ₂ = μ₃ (all teaching methods produce equal means)
H₁: At least one mean differs</t>
  </si>
  <si>
    <t xml:space="preserve">Step 2: Data</t>
  </si>
  <si>
    <t xml:space="preserve">Method A</t>
  </si>
  <si>
    <t xml:space="preserve">Method B</t>
  </si>
  <si>
    <t xml:space="preserve">Method C</t>
  </si>
  <si>
    <t xml:space="preserve">Student 1</t>
  </si>
  <si>
    <t xml:space="preserve">Student 2</t>
  </si>
  <si>
    <t xml:space="preserve">Student 3</t>
  </si>
  <si>
    <t xml:space="preserve">Student 4</t>
  </si>
  <si>
    <t xml:space="preserve">Student 5</t>
  </si>
  <si>
    <t xml:space="preserve">Group Mean</t>
  </si>
  <si>
    <t xml:space="preserve">Group n</t>
  </si>
  <si>
    <t xml:space="preserve">Step 3: Compute Grand Mean and Totals</t>
  </si>
  <si>
    <t xml:space="preserve">Grand Mean (x̄) =</t>
  </si>
  <si>
    <t xml:space="preserve">N (total) =</t>
  </si>
  <si>
    <t xml:space="preserve">k (groups) =</t>
  </si>
  <si>
    <t xml:space="preserve">Step 4: Compute SS_between</t>
  </si>
  <si>
    <t xml:space="preserve">SS_between = Σ nᵢ(x̄ᵢ − x̄)²</t>
  </si>
  <si>
    <t xml:space="preserve">SS_between =</t>
  </si>
  <si>
    <t xml:space="preserve">Step 5: Compute SS_within</t>
  </si>
  <si>
    <t xml:space="preserve">SS_within = Σ Σ (xᵢⱼ − x̄ᵢ)²</t>
  </si>
  <si>
    <t xml:space="preserve">SS_within =</t>
  </si>
  <si>
    <t xml:space="preserve">Step 6: ANOVA Table</t>
  </si>
  <si>
    <t xml:space="preserve">Source</t>
  </si>
  <si>
    <t xml:space="preserve">SS</t>
  </si>
  <si>
    <t xml:space="preserve">df</t>
  </si>
  <si>
    <t xml:space="preserve">MS</t>
  </si>
  <si>
    <t xml:space="preserve">F</t>
  </si>
  <si>
    <t xml:space="preserve">Between</t>
  </si>
  <si>
    <t xml:space="preserve">Within</t>
  </si>
  <si>
    <t xml:space="preserve">Total</t>
  </si>
  <si>
    <t xml:space="preserve">Step 7: Critical Value and Decision</t>
  </si>
  <si>
    <t xml:space="preserve">df₁ = k−1 = 2, df₂ = N−k = 12
F_critical at α=0.05 with df=(2,12): F_crit = 3.885</t>
  </si>
  <si>
    <t xml:space="preserve">F_calc =</t>
  </si>
  <si>
    <t xml:space="preserve">Since F_calc &gt; 3.885, we REJECT H₀.</t>
  </si>
  <si>
    <t xml:space="preserve">Step 8: Effect Size</t>
  </si>
  <si>
    <t xml:space="preserve">η² = SS_between / SS_total =</t>
  </si>
  <si>
    <t xml:space="preserve">η² ≈ 0.87 → Large effect. Teaching method explains about 87% of the variability in scores.</t>
  </si>
  <si>
    <t xml:space="preserve">Step 9: Conclusion</t>
  </si>
  <si>
    <t xml:space="preserve">At the 0.05 significance level, there is sufficient evidence to conclude that at least one teaching method produces a different mean exam score. The effect is large (η² ≈ 0.87). A post-hoc test (e.g., Tukey's HSD) is needed to determine which specific methods differ.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</si>
</sst>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5"/>
    <col collapsed="false" customWidth="true" hidden="false" outlineLevel="0" max="3" min="3" style="0" width="3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48" hidden="false" customHeight="true" outlineLevel="0" collapsed="false">
      <c r="B4" s="3" t="s">
        <v>2</v>
      </c>
    </row>
    <row r="6" customFormat="false" ht="15" hidden="false" customHeight="false" outlineLevel="0" collapsed="false">
      <c r="B6" s="2" t="s">
        <v>3</v>
      </c>
    </row>
    <row r="7" customFormat="false" ht="63.75" hidden="false" customHeight="true" outlineLevel="0" collapsed="false">
      <c r="B7" s="3" t="s">
        <v>4</v>
      </c>
    </row>
    <row r="9" customFormat="false" ht="15" hidden="false" customHeight="false" outlineLevel="0" collapsed="false">
      <c r="B9" s="2" t="s">
        <v>5</v>
      </c>
    </row>
    <row r="10" customFormat="false" ht="96" hidden="false" customHeight="true" outlineLevel="0" collapsed="false">
      <c r="B10" s="3" t="s">
        <v>6</v>
      </c>
    </row>
    <row r="12" customFormat="false" ht="15" hidden="false" customHeight="false" outlineLevel="0" collapsed="false">
      <c r="B12" s="2" t="s">
        <v>7</v>
      </c>
    </row>
    <row r="13" customFormat="false" ht="79.5" hidden="false" customHeight="true" outlineLevel="0" collapsed="false">
      <c r="B13" s="3" t="s">
        <v>8</v>
      </c>
    </row>
    <row r="15" customFormat="false" ht="15" hidden="false" customHeight="false" outlineLevel="0" collapsed="false">
      <c r="B15" s="2" t="s">
        <v>9</v>
      </c>
    </row>
    <row r="16" customFormat="false" ht="79.5" hidden="false" customHeight="true" outlineLevel="0" collapsed="false">
      <c r="B16" s="3" t="s">
        <v>10</v>
      </c>
    </row>
    <row r="18" customFormat="false" ht="15" hidden="false" customHeight="false" outlineLevel="0" collapsed="false">
      <c r="B18" s="2" t="s">
        <v>11</v>
      </c>
    </row>
    <row r="19" customFormat="false" ht="223.5" hidden="false" customHeight="true" outlineLevel="0" collapsed="false">
      <c r="B19" s="3" t="s">
        <v>12</v>
      </c>
    </row>
    <row r="21" customFormat="false" ht="15" hidden="false" customHeight="false" outlineLevel="0" collapsed="false">
      <c r="B21" s="2" t="s">
        <v>13</v>
      </c>
    </row>
    <row r="22" customFormat="false" ht="63.75" hidden="false" customHeight="true" outlineLevel="0" collapsed="false">
      <c r="B22" s="3" t="s">
        <v>14</v>
      </c>
    </row>
    <row r="24" customFormat="false" ht="15" hidden="false" customHeight="false" outlineLevel="0" collapsed="false">
      <c r="B24" s="2" t="s">
        <v>15</v>
      </c>
    </row>
    <row r="25" customFormat="false" ht="48" hidden="false" customHeight="true" outlineLevel="0" collapsed="false">
      <c r="B25" s="3" t="s">
        <v>16</v>
      </c>
    </row>
    <row r="27" customFormat="false" ht="15" hidden="false" customHeight="false" outlineLevel="0" collapsed="false">
      <c r="B27" s="2" t="s">
        <v>17</v>
      </c>
    </row>
    <row r="28" customFormat="false" ht="96" hidden="false" customHeight="true" outlineLevel="0" collapsed="false">
      <c r="B28" s="3" t="s">
        <v>18</v>
      </c>
    </row>
    <row r="30" customFormat="false" ht="15" hidden="false" customHeight="false" outlineLevel="0" collapsed="false">
      <c r="B30" s="2" t="s">
        <v>19</v>
      </c>
    </row>
    <row r="31" customFormat="false" ht="96" hidden="false" customHeight="true" outlineLevel="0" collapsed="false">
      <c r="B31" s="3" t="s">
        <v>20</v>
      </c>
    </row>
    <row r="33" customFormat="false" ht="15" hidden="false" customHeight="false" outlineLevel="0" collapsed="false">
      <c r="B33" s="2" t="s">
        <v>21</v>
      </c>
    </row>
    <row r="34" customFormat="false" ht="159.75" hidden="false" customHeight="true" outlineLevel="0" collapsed="false">
      <c r="B34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1" t="s">
        <v>23</v>
      </c>
    </row>
    <row r="4" customFormat="false" ht="15" hidden="false" customHeight="false" outlineLevel="0" collapsed="false">
      <c r="B4" s="4" t="s">
        <v>24</v>
      </c>
    </row>
    <row r="5" customFormat="false" ht="30" hidden="false" customHeight="true" outlineLevel="0" collapsed="false">
      <c r="B5" s="3" t="s">
        <v>25</v>
      </c>
    </row>
    <row r="7" customFormat="false" ht="26.85" hidden="false" customHeight="false" outlineLevel="0" collapsed="false">
      <c r="B7" s="2" t="s">
        <v>26</v>
      </c>
    </row>
    <row r="8" customFormat="false" ht="31.5" hidden="false" customHeight="true" outlineLevel="0" collapsed="false">
      <c r="B8" s="3" t="s">
        <v>27</v>
      </c>
    </row>
    <row r="10" customFormat="false" ht="15" hidden="false" customHeight="false" outlineLevel="0" collapsed="false">
      <c r="B10" s="2" t="s">
        <v>28</v>
      </c>
    </row>
    <row r="11" customFormat="false" ht="15" hidden="false" customHeight="false" outlineLevel="0" collapsed="false">
      <c r="B11" s="5"/>
      <c r="C11" s="5" t="s">
        <v>29</v>
      </c>
      <c r="D11" s="5" t="s">
        <v>30</v>
      </c>
      <c r="E11" s="5" t="s">
        <v>31</v>
      </c>
    </row>
    <row r="12" customFormat="false" ht="15" hidden="false" customHeight="false" outlineLevel="0" collapsed="false">
      <c r="B12" s="6" t="s">
        <v>32</v>
      </c>
      <c r="C12" s="6" t="n">
        <v>78</v>
      </c>
      <c r="D12" s="6" t="n">
        <v>90</v>
      </c>
      <c r="E12" s="6" t="n">
        <v>70</v>
      </c>
    </row>
    <row r="13" customFormat="false" ht="15" hidden="false" customHeight="false" outlineLevel="0" collapsed="false">
      <c r="B13" s="6" t="s">
        <v>33</v>
      </c>
      <c r="C13" s="6" t="n">
        <v>85</v>
      </c>
      <c r="D13" s="6" t="n">
        <v>88</v>
      </c>
      <c r="E13" s="6" t="n">
        <v>72</v>
      </c>
    </row>
    <row r="14" customFormat="false" ht="15" hidden="false" customHeight="false" outlineLevel="0" collapsed="false">
      <c r="B14" s="6" t="s">
        <v>34</v>
      </c>
      <c r="C14" s="6" t="n">
        <v>82</v>
      </c>
      <c r="D14" s="6" t="n">
        <v>92</v>
      </c>
      <c r="E14" s="6" t="n">
        <v>68</v>
      </c>
    </row>
    <row r="15" customFormat="false" ht="15" hidden="false" customHeight="false" outlineLevel="0" collapsed="false">
      <c r="B15" s="6" t="s">
        <v>35</v>
      </c>
      <c r="C15" s="6" t="n">
        <v>80</v>
      </c>
      <c r="D15" s="6" t="n">
        <v>85</v>
      </c>
      <c r="E15" s="6" t="n">
        <v>74</v>
      </c>
    </row>
    <row r="16" customFormat="false" ht="15" hidden="false" customHeight="false" outlineLevel="0" collapsed="false">
      <c r="B16" s="6" t="s">
        <v>36</v>
      </c>
      <c r="C16" s="6" t="n">
        <v>75</v>
      </c>
      <c r="D16" s="6" t="n">
        <v>95</v>
      </c>
      <c r="E16" s="6" t="n">
        <v>66</v>
      </c>
    </row>
    <row r="17" customFormat="false" ht="15" hidden="false" customHeight="false" outlineLevel="0" collapsed="false">
      <c r="B17" s="7" t="s">
        <v>37</v>
      </c>
      <c r="C17" s="8" t="n">
        <f aca="false">AVERAGE(C12:C16)</f>
        <v>80</v>
      </c>
      <c r="D17" s="8" t="n">
        <f aca="false">AVERAGE(D12:D16)</f>
        <v>90</v>
      </c>
      <c r="E17" s="8" t="n">
        <f aca="false">AVERAGE(E12:E16)</f>
        <v>70</v>
      </c>
    </row>
    <row r="18" customFormat="false" ht="15" hidden="false" customHeight="false" outlineLevel="0" collapsed="false">
      <c r="B18" s="7" t="s">
        <v>38</v>
      </c>
      <c r="C18" s="7" t="n">
        <f aca="false">COUNT(C12:C16)</f>
        <v>5</v>
      </c>
      <c r="D18" s="7" t="n">
        <f aca="false">COUNT(D12:D16)</f>
        <v>5</v>
      </c>
      <c r="E18" s="7" t="n">
        <f aca="false">COUNT(E12:E16)</f>
        <v>5</v>
      </c>
    </row>
    <row r="20" customFormat="false" ht="26.85" hidden="false" customHeight="false" outlineLevel="0" collapsed="false">
      <c r="B20" s="2" t="s">
        <v>39</v>
      </c>
    </row>
    <row r="21" customFormat="false" ht="15" hidden="false" customHeight="false" outlineLevel="0" collapsed="false">
      <c r="B21" s="9" t="s">
        <v>40</v>
      </c>
      <c r="C21" s="10" t="n">
        <f aca="false">(SUM(C12:C16)+SUM(D12:D16)+SUM(E12:E16))/(C18+D18+E18)</f>
        <v>80</v>
      </c>
    </row>
    <row r="22" customFormat="false" ht="15" hidden="false" customHeight="false" outlineLevel="0" collapsed="false">
      <c r="B22" s="9" t="s">
        <v>41</v>
      </c>
      <c r="C22" s="7" t="n">
        <f aca="false">C18+D18+E18</f>
        <v>15</v>
      </c>
    </row>
    <row r="23" customFormat="false" ht="15" hidden="false" customHeight="false" outlineLevel="0" collapsed="false">
      <c r="B23" s="9" t="s">
        <v>42</v>
      </c>
      <c r="C23" s="7" t="n">
        <v>3</v>
      </c>
    </row>
    <row r="25" customFormat="false" ht="26.85" hidden="false" customHeight="false" outlineLevel="0" collapsed="false">
      <c r="B25" s="2" t="s">
        <v>43</v>
      </c>
    </row>
    <row r="26" customFormat="false" ht="30" hidden="false" customHeight="true" outlineLevel="0" collapsed="false">
      <c r="B26" s="3" t="s">
        <v>44</v>
      </c>
    </row>
    <row r="27" customFormat="false" ht="15" hidden="false" customHeight="false" outlineLevel="0" collapsed="false">
      <c r="B27" s="9" t="s">
        <v>45</v>
      </c>
      <c r="C27" s="10" t="n">
        <f aca="false">C18*(C17-C21)^2+D18*(D17-C21)^2+E18*(E17-C21)^2</f>
        <v>1000</v>
      </c>
    </row>
    <row r="29" customFormat="false" ht="26.85" hidden="false" customHeight="false" outlineLevel="0" collapsed="false">
      <c r="B29" s="2" t="s">
        <v>46</v>
      </c>
    </row>
    <row r="30" customFormat="false" ht="30" hidden="false" customHeight="true" outlineLevel="0" collapsed="false">
      <c r="B30" s="3" t="s">
        <v>47</v>
      </c>
    </row>
    <row r="31" customFormat="false" ht="15" hidden="false" customHeight="false" outlineLevel="0" collapsed="false">
      <c r="B31" s="9" t="s">
        <v>48</v>
      </c>
      <c r="C31" s="10" t="n">
        <f aca="false">SUMPRODUCT((C12:C16-C17)^2)+SUMPRODUCT((D12:D16-D17)^2)+SUMPRODUCT((E12:E16-E17)^2)</f>
        <v>156</v>
      </c>
    </row>
    <row r="33" customFormat="false" ht="15" hidden="false" customHeight="false" outlineLevel="0" collapsed="false">
      <c r="B33" s="2" t="s">
        <v>49</v>
      </c>
    </row>
    <row r="34" customFormat="false" ht="15" hidden="false" customHeight="false" outlineLevel="0" collapsed="false">
      <c r="B34" s="5" t="s">
        <v>50</v>
      </c>
      <c r="C34" s="5" t="s">
        <v>51</v>
      </c>
      <c r="D34" s="5" t="s">
        <v>52</v>
      </c>
      <c r="E34" s="5" t="s">
        <v>53</v>
      </c>
      <c r="F34" s="5" t="s">
        <v>54</v>
      </c>
    </row>
    <row r="35" customFormat="false" ht="15" hidden="false" customHeight="false" outlineLevel="0" collapsed="false">
      <c r="B35" s="6" t="s">
        <v>55</v>
      </c>
      <c r="C35" s="6" t="n">
        <f aca="false">C27</f>
        <v>1000</v>
      </c>
      <c r="D35" s="6" t="n">
        <v>2</v>
      </c>
      <c r="E35" s="6" t="n">
        <f aca="false">C35/D35</f>
        <v>500</v>
      </c>
      <c r="F35" s="11" t="n">
        <f aca="false">E35/E36</f>
        <v>38.4615384615385</v>
      </c>
    </row>
    <row r="36" customFormat="false" ht="15" hidden="false" customHeight="false" outlineLevel="0" collapsed="false">
      <c r="B36" s="6" t="s">
        <v>56</v>
      </c>
      <c r="C36" s="6" t="n">
        <f aca="false">C31</f>
        <v>156</v>
      </c>
      <c r="D36" s="6" t="n">
        <f aca="false">C22-3</f>
        <v>12</v>
      </c>
      <c r="E36" s="6" t="n">
        <f aca="false">C36/D36</f>
        <v>13</v>
      </c>
      <c r="F36" s="6"/>
    </row>
    <row r="37" customFormat="false" ht="15" hidden="false" customHeight="false" outlineLevel="0" collapsed="false">
      <c r="B37" s="6" t="s">
        <v>57</v>
      </c>
      <c r="C37" s="6" t="n">
        <f aca="false">C35+C36</f>
        <v>1156</v>
      </c>
      <c r="D37" s="6" t="n">
        <f aca="false">C22-1</f>
        <v>14</v>
      </c>
      <c r="E37" s="6"/>
      <c r="F37" s="6"/>
    </row>
    <row r="39" customFormat="false" ht="26.85" hidden="false" customHeight="false" outlineLevel="0" collapsed="false">
      <c r="B39" s="2" t="s">
        <v>58</v>
      </c>
    </row>
    <row r="40" customFormat="false" ht="31.5" hidden="false" customHeight="true" outlineLevel="0" collapsed="false">
      <c r="B40" s="3" t="s">
        <v>59</v>
      </c>
    </row>
    <row r="42" customFormat="false" ht="15" hidden="false" customHeight="false" outlineLevel="0" collapsed="false">
      <c r="B42" s="9" t="s">
        <v>60</v>
      </c>
      <c r="C42" s="10" t="n">
        <f aca="false">F35</f>
        <v>38.4615384615385</v>
      </c>
    </row>
    <row r="43" customFormat="false" ht="30" hidden="false" customHeight="true" outlineLevel="0" collapsed="false">
      <c r="B43" s="3" t="s">
        <v>61</v>
      </c>
    </row>
    <row r="45" customFormat="false" ht="15" hidden="false" customHeight="false" outlineLevel="0" collapsed="false">
      <c r="B45" s="2" t="s">
        <v>62</v>
      </c>
    </row>
    <row r="46" customFormat="false" ht="15" hidden="false" customHeight="false" outlineLevel="0" collapsed="false">
      <c r="B46" s="9" t="s">
        <v>63</v>
      </c>
      <c r="C46" s="10" t="n">
        <f aca="false">C27/(C27+C31)</f>
        <v>0.865051903114187</v>
      </c>
    </row>
    <row r="47" customFormat="false" ht="30" hidden="false" customHeight="true" outlineLevel="0" collapsed="false">
      <c r="B47" s="3" t="s">
        <v>64</v>
      </c>
    </row>
    <row r="49" customFormat="false" ht="15" hidden="false" customHeight="false" outlineLevel="0" collapsed="false">
      <c r="B49" s="2" t="s">
        <v>65</v>
      </c>
    </row>
    <row r="50" customFormat="false" ht="49.5" hidden="false" customHeight="true" outlineLevel="0" collapsed="false">
      <c r="B50" s="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2026-03-09T09:09:47Z</dcterms:created>
  <dc:creator>openpyxl</dc:creator>
  <dc:description/>
  <dc:language>en-US</dc:language>
  <cp:lastModifiedBy/>
  <dcterms:modified xsi:type="dcterms:W3CDTF">2026-03-09T09:09:47Z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