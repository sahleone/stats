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 1" sheetId="1" state="visible" r:id="rId3"/>
    <sheet name="Answer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<sst xmlns="http://schemas.openxmlformats.org/spreadsheetml/2006/main" count="75" uniqueCount="54">
  <si>
    <t xml:space="preserve">Answer 1: Fertilizer Types</t>
  </si>
  <si>
    <t xml:space="preserve">Step 1: Hypotheses</t>
  </si>
  <si>
    <t xml:space="preserve">H₀: μ_A = μ_B = μ_C = μ_D
H₁: At least one mean differs
α = 0.05</t>
  </si>
  <si>
    <t xml:space="preserve">Step 2: Data and Group Summaries</t>
  </si>
  <si>
    <t xml:space="preserve">Fert A</t>
  </si>
  <si>
    <t xml:space="preserve">Fert B</t>
  </si>
  <si>
    <t xml:space="preserve">Fert C</t>
  </si>
  <si>
    <t xml:space="preserve">Fert D</t>
  </si>
  <si>
    <t xml:space="preserve">Plot 1</t>
  </si>
  <si>
    <t xml:space="preserve">Plot 2</t>
  </si>
  <si>
    <t xml:space="preserve">Plot 3</t>
  </si>
  <si>
    <t xml:space="preserve">Plot 4</t>
  </si>
  <si>
    <t xml:space="preserve">Plot 5</t>
  </si>
  <si>
    <t xml:space="preserve">Mean</t>
  </si>
  <si>
    <t xml:space="preserve">n</t>
  </si>
  <si>
    <t xml:space="preserve">Grand Mean =</t>
  </si>
  <si>
    <t xml:space="preserve">N = 20, k = 4</t>
  </si>
  <si>
    <t xml:space="preserve">Step 3: SS_between</t>
  </si>
  <si>
    <t xml:space="preserve">SS_between =</t>
  </si>
  <si>
    <t xml:space="preserve">Step 4: SS_within</t>
  </si>
  <si>
    <t xml:space="preserve">SS_within =</t>
  </si>
  <si>
    <t xml:space="preserve">Step 5: ANOVA Table</t>
  </si>
  <si>
    <t xml:space="preserve">Source</t>
  </si>
  <si>
    <t xml:space="preserve">SS</t>
  </si>
  <si>
    <t xml:space="preserve">df</t>
  </si>
  <si>
    <t xml:space="preserve">MS</t>
  </si>
  <si>
    <t xml:space="preserve">F</t>
  </si>
  <si>
    <t xml:space="preserve">Between</t>
  </si>
  <si>
    <t xml:space="preserve">Within</t>
  </si>
  <si>
    <t xml:space="preserve">Total</t>
  </si>
  <si>
    <t xml:space="preserve">Step 6: Decision</t>
  </si>
  <si>
    <t xml:space="preserve">df₁=3, df₂=16. F_critical(0.05, 3, 16) = 3.239</t>
  </si>
  <si>
    <t xml:space="preserve">F_calc =</t>
  </si>
  <si>
    <t xml:space="preserve">Since F_calc &gt; 3.239, we REJECT H₀.</t>
  </si>
  <si>
    <t xml:space="preserve">Step 7: Effect Size</t>
  </si>
  <si>
    <t xml:space="preserve">η² =</t>
  </si>
  <si>
    <t xml:space="preserve">Large effect. Fertilizer type explains a large proportion of yield variability.</t>
  </si>
  <si>
    <t xml:space="preserve">Step 8: Conclusion</t>
  </si>
  <si>
    <t xml:space="preserve">At α=0.05, there is sufficient evidence that at least one fertilizer produces a different mean yield. The effect is large. Post-hoc testing (e.g., Tukey's HSD) would reveal which fertilizers differ.</t>
  </si>
  <si>
    <t xml:space="preserve">Answer 2: Study Environments</t>
  </si>
  <si>
    <t xml:space="preserve">H₀: μ_Library = μ_CoffeeShop = μ_Home
H₁: At least one mean differs
α = 0.01</t>
  </si>
  <si>
    <t xml:space="preserve">Step 2: Data</t>
  </si>
  <si>
    <t xml:space="preserve">Library</t>
  </si>
  <si>
    <t xml:space="preserve">Coffee Shop</t>
  </si>
  <si>
    <t xml:space="preserve">Home</t>
  </si>
  <si>
    <t xml:space="preserve">Student 1</t>
  </si>
  <si>
    <t xml:space="preserve">Student 2</t>
  </si>
  <si>
    <t xml:space="preserve">Student 3</t>
  </si>
  <si>
    <t xml:space="preserve">Student 4</t>
  </si>
  <si>
    <t xml:space="preserve">Student 5</t>
  </si>
  <si>
    <t xml:space="preserve">Student 6</t>
  </si>
  <si>
    <t xml:space="preserve">df₁=2, df₂=15. F_critical(0.01, 2, 15) = 6.359</t>
  </si>
  <si>
    <t xml:space="preserve">Since F_calc &gt; 6.359, we REJECT H₀.</t>
  </si>
  <si>
    <t xml:space="preserve">At α=0.01, there is sufficient evidence that study environment affects test performance. The library group scored highest on average. Post-hoc tests would confirm which pairs differ significantly.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</si>
</sst>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7" min="3" style="0" width="16"/>
  </cols>
  <sheetData>
    <row r="1" customFormat="false" ht="17.35" hidden="false" customHeight="false" outlineLevel="0" collapsed="false">
      <c r="B1" s="1" t="s">
        <v>0</v>
      </c>
    </row>
    <row r="4" customFormat="false" ht="15" hidden="false" customHeight="false" outlineLevel="0" collapsed="false">
      <c r="B4" s="2" t="s">
        <v>1</v>
      </c>
    </row>
    <row r="6" customFormat="false" ht="48" hidden="false" customHeight="true" outlineLevel="0" collapsed="false">
      <c r="B6" s="3" t="s">
        <v>2</v>
      </c>
    </row>
    <row r="8" customFormat="false" ht="26.85" hidden="false" customHeight="false" outlineLevel="0" collapsed="false">
      <c r="B8" s="2" t="s">
        <v>3</v>
      </c>
    </row>
    <row r="9" customFormat="false" ht="15" hidden="false" customHeight="false" outlineLevel="0" collapsed="false">
      <c r="B9" s="4"/>
      <c r="C9" s="4" t="s">
        <v>4</v>
      </c>
      <c r="D9" s="4" t="s">
        <v>5</v>
      </c>
      <c r="E9" s="4" t="s">
        <v>6</v>
      </c>
      <c r="F9" s="4" t="s">
        <v>7</v>
      </c>
    </row>
    <row r="10" customFormat="false" ht="15" hidden="false" customHeight="false" outlineLevel="0" collapsed="false">
      <c r="B10" s="5" t="s">
        <v>8</v>
      </c>
      <c r="C10" s="5" t="n">
        <v>45</v>
      </c>
      <c r="D10" s="5" t="n">
        <v>55</v>
      </c>
      <c r="E10" s="5" t="n">
        <v>50</v>
      </c>
      <c r="F10" s="5" t="n">
        <v>62</v>
      </c>
    </row>
    <row r="11" customFormat="false" ht="15" hidden="false" customHeight="false" outlineLevel="0" collapsed="false">
      <c r="B11" s="5" t="s">
        <v>9</v>
      </c>
      <c r="C11" s="5" t="n">
        <v>48</v>
      </c>
      <c r="D11" s="5" t="n">
        <v>60</v>
      </c>
      <c r="E11" s="5" t="n">
        <v>47</v>
      </c>
      <c r="F11" s="5" t="n">
        <v>65</v>
      </c>
    </row>
    <row r="12" customFormat="false" ht="15" hidden="false" customHeight="false" outlineLevel="0" collapsed="false">
      <c r="B12" s="5" t="s">
        <v>10</v>
      </c>
      <c r="C12" s="5" t="n">
        <v>42</v>
      </c>
      <c r="D12" s="5" t="n">
        <v>58</v>
      </c>
      <c r="E12" s="5" t="n">
        <v>49</v>
      </c>
      <c r="F12" s="5" t="n">
        <v>60</v>
      </c>
    </row>
    <row r="13" customFormat="false" ht="15" hidden="false" customHeight="false" outlineLevel="0" collapsed="false">
      <c r="B13" s="5" t="s">
        <v>11</v>
      </c>
      <c r="C13" s="5" t="n">
        <v>50</v>
      </c>
      <c r="D13" s="5" t="n">
        <v>52</v>
      </c>
      <c r="E13" s="5" t="n">
        <v>51</v>
      </c>
      <c r="F13" s="5" t="n">
        <v>58</v>
      </c>
    </row>
    <row r="14" customFormat="false" ht="15" hidden="false" customHeight="false" outlineLevel="0" collapsed="false">
      <c r="B14" s="5" t="s">
        <v>12</v>
      </c>
      <c r="C14" s="5" t="n">
        <v>44</v>
      </c>
      <c r="D14" s="5" t="n">
        <v>55</v>
      </c>
      <c r="E14" s="5" t="n">
        <v>53</v>
      </c>
      <c r="F14" s="5" t="n">
        <v>65</v>
      </c>
    </row>
    <row r="15" customFormat="false" ht="15" hidden="false" customHeight="false" outlineLevel="0" collapsed="false">
      <c r="B15" s="6" t="s">
        <v>13</v>
      </c>
      <c r="C15" s="7" t="n">
        <f aca="false">AVERAGE(C10:C14)</f>
        <v>45.8</v>
      </c>
      <c r="D15" s="7" t="n">
        <f aca="false">AVERAGE(D10:D14)</f>
        <v>56</v>
      </c>
      <c r="E15" s="7" t="n">
        <f aca="false">AVERAGE(E10:E14)</f>
        <v>50</v>
      </c>
      <c r="F15" s="7" t="n">
        <f aca="false">AVERAGE(F10:F14)</f>
        <v>62</v>
      </c>
    </row>
    <row r="16" customFormat="false" ht="15" hidden="false" customHeight="false" outlineLevel="0" collapsed="false">
      <c r="B16" s="6" t="s">
        <v>14</v>
      </c>
      <c r="C16" s="6" t="n">
        <v>5</v>
      </c>
      <c r="D16" s="6" t="n">
        <v>5</v>
      </c>
      <c r="E16" s="6" t="n">
        <v>5</v>
      </c>
      <c r="F16" s="6" t="n">
        <v>5</v>
      </c>
    </row>
    <row r="18" customFormat="false" ht="15" hidden="false" customHeight="false" outlineLevel="0" collapsed="false">
      <c r="B18" s="8" t="s">
        <v>15</v>
      </c>
      <c r="C18" s="9" t="n">
        <f aca="false">(SUM(C10:C14)+SUM(D10:D14)+SUM(E10:E14)+SUM(F10:F14))/20</f>
        <v>53.45</v>
      </c>
    </row>
    <row r="19" customFormat="false" ht="15" hidden="false" customHeight="false" outlineLevel="0" collapsed="false">
      <c r="B19" s="8" t="s">
        <v>16</v>
      </c>
    </row>
    <row r="21" customFormat="false" ht="15" hidden="false" customHeight="false" outlineLevel="0" collapsed="false">
      <c r="B21" s="2" t="s">
        <v>17</v>
      </c>
    </row>
    <row r="22" customFormat="false" ht="15" hidden="false" customHeight="false" outlineLevel="0" collapsed="false">
      <c r="B22" s="8" t="s">
        <v>18</v>
      </c>
      <c r="C22" s="9" t="n">
        <f aca="false">5*(C15-C18)^2+5*(D15-C18)^2+5*(E15-C18)^2+5*(F15-C18)^2</f>
        <v>750.15</v>
      </c>
    </row>
    <row r="24" customFormat="false" ht="15" hidden="false" customHeight="false" outlineLevel="0" collapsed="false">
      <c r="B24" s="2" t="s">
        <v>19</v>
      </c>
    </row>
    <row r="25" customFormat="false" ht="15" hidden="false" customHeight="false" outlineLevel="0" collapsed="false">
      <c r="B25" s="8" t="s">
        <v>20</v>
      </c>
      <c r="C25" s="9" t="n">
        <f aca="false">SUMPRODUCT((C10:C14-C15)^2)+SUMPRODUCT((D10:D14-D15)^2)+SUMPRODUCT((E10:E14-E15)^2)+SUMPRODUCT((F10:F14-F15)^2)</f>
        <v>136.8</v>
      </c>
    </row>
    <row r="27" customFormat="false" ht="15" hidden="false" customHeight="false" outlineLevel="0" collapsed="false">
      <c r="B27" s="2" t="s">
        <v>21</v>
      </c>
    </row>
    <row r="28" customFormat="false" ht="15" hidden="false" customHeight="false" outlineLevel="0" collapsed="false">
      <c r="B28" s="4" t="s">
        <v>22</v>
      </c>
      <c r="C28" s="4" t="s">
        <v>23</v>
      </c>
      <c r="D28" s="4" t="s">
        <v>24</v>
      </c>
      <c r="E28" s="4" t="s">
        <v>25</v>
      </c>
      <c r="F28" s="4" t="s">
        <v>26</v>
      </c>
    </row>
    <row r="29" customFormat="false" ht="15" hidden="false" customHeight="false" outlineLevel="0" collapsed="false">
      <c r="B29" s="5" t="s">
        <v>27</v>
      </c>
      <c r="C29" s="5" t="n">
        <f aca="false">C22</f>
        <v>750.15</v>
      </c>
      <c r="D29" s="5" t="n">
        <v>3</v>
      </c>
      <c r="E29" s="5" t="n">
        <f aca="false">C29/D29</f>
        <v>250.05</v>
      </c>
      <c r="F29" s="10" t="n">
        <f aca="false">E29/E30</f>
        <v>29.2456140350877</v>
      </c>
    </row>
    <row r="30" customFormat="false" ht="15" hidden="false" customHeight="false" outlineLevel="0" collapsed="false">
      <c r="B30" s="5" t="s">
        <v>28</v>
      </c>
      <c r="C30" s="5" t="n">
        <f aca="false">C25</f>
        <v>136.8</v>
      </c>
      <c r="D30" s="5" t="n">
        <v>16</v>
      </c>
      <c r="E30" s="5" t="n">
        <f aca="false">C30/D30</f>
        <v>8.55</v>
      </c>
      <c r="F30" s="5"/>
    </row>
    <row r="31" customFormat="false" ht="15" hidden="false" customHeight="false" outlineLevel="0" collapsed="false">
      <c r="B31" s="5" t="s">
        <v>29</v>
      </c>
      <c r="C31" s="5" t="n">
        <f aca="false">C29+C30</f>
        <v>886.95</v>
      </c>
      <c r="D31" s="5" t="n">
        <v>19</v>
      </c>
      <c r="E31" s="5"/>
      <c r="F31" s="5"/>
    </row>
    <row r="33" customFormat="false" ht="15" hidden="false" customHeight="false" outlineLevel="0" collapsed="false">
      <c r="B33" s="2" t="s">
        <v>30</v>
      </c>
    </row>
    <row r="34" customFormat="false" ht="30" hidden="false" customHeight="true" outlineLevel="0" collapsed="false">
      <c r="B34" s="3" t="s">
        <v>31</v>
      </c>
    </row>
    <row r="35" customFormat="false" ht="15" hidden="false" customHeight="false" outlineLevel="0" collapsed="false">
      <c r="B35" s="8" t="s">
        <v>32</v>
      </c>
      <c r="C35" s="9" t="n">
        <f aca="false">F29</f>
        <v>29.2456140350877</v>
      </c>
    </row>
    <row r="36" customFormat="false" ht="30" hidden="false" customHeight="true" outlineLevel="0" collapsed="false">
      <c r="B36" s="3" t="s">
        <v>33</v>
      </c>
    </row>
    <row r="38" customFormat="false" ht="15" hidden="false" customHeight="false" outlineLevel="0" collapsed="false">
      <c r="B38" s="2" t="s">
        <v>34</v>
      </c>
    </row>
    <row r="39" customFormat="false" ht="15" hidden="false" customHeight="false" outlineLevel="0" collapsed="false">
      <c r="B39" s="8" t="s">
        <v>35</v>
      </c>
      <c r="C39" s="9" t="n">
        <f aca="false">C22/(C22+C25)</f>
        <v>0.845763571790969</v>
      </c>
    </row>
    <row r="40" customFormat="false" ht="30" hidden="false" customHeight="true" outlineLevel="0" collapsed="false">
      <c r="B40" s="3" t="s">
        <v>36</v>
      </c>
    </row>
    <row r="42" customFormat="false" ht="15" hidden="false" customHeight="false" outlineLevel="0" collapsed="false">
      <c r="B42" s="2" t="s">
        <v>37</v>
      </c>
    </row>
    <row r="43" customFormat="false" ht="49.5" hidden="false" customHeight="true" outlineLevel="0" collapsed="false">
      <c r="B43" s="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6" min="3" style="0" width="16"/>
  </cols>
  <sheetData>
    <row r="1" customFormat="false" ht="17.35" hidden="false" customHeight="false" outlineLevel="0" collapsed="false">
      <c r="B1" s="1" t="s">
        <v>39</v>
      </c>
    </row>
    <row r="4" customFormat="false" ht="15" hidden="false" customHeight="false" outlineLevel="0" collapsed="false">
      <c r="B4" s="2" t="s">
        <v>1</v>
      </c>
    </row>
    <row r="6" customFormat="false" ht="48" hidden="false" customHeight="true" outlineLevel="0" collapsed="false">
      <c r="B6" s="3" t="s">
        <v>40</v>
      </c>
    </row>
    <row r="8" customFormat="false" ht="15" hidden="false" customHeight="false" outlineLevel="0" collapsed="false">
      <c r="B8" s="2" t="s">
        <v>41</v>
      </c>
    </row>
    <row r="9" customFormat="false" ht="15" hidden="false" customHeight="false" outlineLevel="0" collapsed="false">
      <c r="B9" s="4"/>
      <c r="C9" s="4" t="s">
        <v>42</v>
      </c>
      <c r="D9" s="4" t="s">
        <v>43</v>
      </c>
      <c r="E9" s="4" t="s">
        <v>44</v>
      </c>
    </row>
    <row r="10" customFormat="false" ht="15" hidden="false" customHeight="false" outlineLevel="0" collapsed="false">
      <c r="B10" s="5" t="s">
        <v>45</v>
      </c>
      <c r="C10" s="5" t="n">
        <v>88</v>
      </c>
      <c r="D10" s="5" t="n">
        <v>78</v>
      </c>
      <c r="E10" s="5" t="n">
        <v>80</v>
      </c>
    </row>
    <row r="11" customFormat="false" ht="15" hidden="false" customHeight="false" outlineLevel="0" collapsed="false">
      <c r="B11" s="5" t="s">
        <v>46</v>
      </c>
      <c r="C11" s="5" t="n">
        <v>92</v>
      </c>
      <c r="D11" s="5" t="n">
        <v>82</v>
      </c>
      <c r="E11" s="5" t="n">
        <v>85</v>
      </c>
    </row>
    <row r="12" customFormat="false" ht="15" hidden="false" customHeight="false" outlineLevel="0" collapsed="false">
      <c r="B12" s="5" t="s">
        <v>47</v>
      </c>
      <c r="C12" s="5" t="n">
        <v>85</v>
      </c>
      <c r="D12" s="5" t="n">
        <v>76</v>
      </c>
      <c r="E12" s="5" t="n">
        <v>82</v>
      </c>
    </row>
    <row r="13" customFormat="false" ht="15" hidden="false" customHeight="false" outlineLevel="0" collapsed="false">
      <c r="B13" s="5" t="s">
        <v>48</v>
      </c>
      <c r="C13" s="5" t="n">
        <v>90</v>
      </c>
      <c r="D13" s="5" t="n">
        <v>80</v>
      </c>
      <c r="E13" s="5" t="n">
        <v>79</v>
      </c>
    </row>
    <row r="14" customFormat="false" ht="15" hidden="false" customHeight="false" outlineLevel="0" collapsed="false">
      <c r="B14" s="5" t="s">
        <v>49</v>
      </c>
      <c r="C14" s="5" t="n">
        <v>87</v>
      </c>
      <c r="D14" s="5" t="n">
        <v>74</v>
      </c>
      <c r="E14" s="5" t="n">
        <v>83</v>
      </c>
    </row>
    <row r="15" customFormat="false" ht="15" hidden="false" customHeight="false" outlineLevel="0" collapsed="false">
      <c r="B15" s="5" t="s">
        <v>50</v>
      </c>
      <c r="C15" s="5" t="n">
        <v>91</v>
      </c>
      <c r="D15" s="5" t="n">
        <v>84</v>
      </c>
      <c r="E15" s="5" t="n">
        <v>81</v>
      </c>
    </row>
    <row r="16" customFormat="false" ht="15" hidden="false" customHeight="false" outlineLevel="0" collapsed="false">
      <c r="B16" s="6" t="s">
        <v>13</v>
      </c>
      <c r="C16" s="7" t="n">
        <f aca="false">AVERAGE(C10:C15)</f>
        <v>88.8333333333333</v>
      </c>
      <c r="D16" s="7" t="n">
        <f aca="false">AVERAGE(D10:D15)</f>
        <v>79</v>
      </c>
      <c r="E16" s="7" t="n">
        <f aca="false">AVERAGE(E10:E15)</f>
        <v>81.6666666666667</v>
      </c>
    </row>
    <row r="17" customFormat="false" ht="15" hidden="false" customHeight="false" outlineLevel="0" collapsed="false">
      <c r="B17" s="8" t="s">
        <v>15</v>
      </c>
      <c r="C17" s="9" t="n">
        <f aca="false">(SUM(C10:C15)+SUM(D10:D15)+SUM(E10:E15))/18</f>
        <v>83.1666666666667</v>
      </c>
    </row>
    <row r="19" customFormat="false" ht="15" hidden="false" customHeight="false" outlineLevel="0" collapsed="false">
      <c r="B19" s="2" t="s">
        <v>17</v>
      </c>
    </row>
    <row r="20" customFormat="false" ht="15" hidden="false" customHeight="false" outlineLevel="0" collapsed="false">
      <c r="B20" s="8" t="s">
        <v>18</v>
      </c>
      <c r="C20" s="9" t="n">
        <f aca="false">6*(C16-C17)^2+6*(D16-C17)^2+6*(E16-C17)^2</f>
        <v>310.333333333333</v>
      </c>
    </row>
    <row r="22" customFormat="false" ht="15" hidden="false" customHeight="false" outlineLevel="0" collapsed="false">
      <c r="B22" s="2" t="s">
        <v>19</v>
      </c>
    </row>
    <row r="23" customFormat="false" ht="15" hidden="false" customHeight="false" outlineLevel="0" collapsed="false">
      <c r="B23" s="8" t="s">
        <v>20</v>
      </c>
      <c r="C23" s="9" t="n">
        <f aca="false">SUMPRODUCT((C10:C15-C16)^2)+SUMPRODUCT((D10:D15-D16)^2)+SUMPRODUCT((E10:E15-E16)^2)</f>
        <v>128.166666666667</v>
      </c>
    </row>
    <row r="25" customFormat="false" ht="15" hidden="false" customHeight="false" outlineLevel="0" collapsed="false">
      <c r="B25" s="2" t="s">
        <v>21</v>
      </c>
    </row>
    <row r="26" customFormat="false" ht="15" hidden="false" customHeight="false" outlineLevel="0" collapsed="false">
      <c r="B26" s="4" t="s">
        <v>22</v>
      </c>
      <c r="C26" s="4" t="s">
        <v>23</v>
      </c>
      <c r="D26" s="4" t="s">
        <v>24</v>
      </c>
      <c r="E26" s="4" t="s">
        <v>25</v>
      </c>
      <c r="F26" s="4" t="s">
        <v>26</v>
      </c>
    </row>
    <row r="27" customFormat="false" ht="15" hidden="false" customHeight="false" outlineLevel="0" collapsed="false">
      <c r="B27" s="5" t="s">
        <v>27</v>
      </c>
      <c r="C27" s="5" t="n">
        <f aca="false">C20</f>
        <v>310.333333333333</v>
      </c>
      <c r="D27" s="5" t="n">
        <v>2</v>
      </c>
      <c r="E27" s="5" t="n">
        <f aca="false">C27/D27</f>
        <v>155.166666666666</v>
      </c>
      <c r="F27" s="10" t="n">
        <f aca="false">E27/E28</f>
        <v>18.1599479843953</v>
      </c>
    </row>
    <row r="28" customFormat="false" ht="15" hidden="false" customHeight="false" outlineLevel="0" collapsed="false">
      <c r="B28" s="5" t="s">
        <v>28</v>
      </c>
      <c r="C28" s="5" t="n">
        <f aca="false">C23</f>
        <v>128.166666666667</v>
      </c>
      <c r="D28" s="5" t="n">
        <v>15</v>
      </c>
      <c r="E28" s="5" t="n">
        <f aca="false">C28/D28</f>
        <v>8.54444444444444</v>
      </c>
      <c r="F28" s="5"/>
    </row>
    <row r="29" customFormat="false" ht="15" hidden="false" customHeight="false" outlineLevel="0" collapsed="false">
      <c r="B29" s="5" t="s">
        <v>29</v>
      </c>
      <c r="C29" s="5" t="n">
        <f aca="false">C27+C28</f>
        <v>438.5</v>
      </c>
      <c r="D29" s="5" t="n">
        <v>17</v>
      </c>
      <c r="E29" s="5"/>
      <c r="F29" s="5"/>
    </row>
    <row r="31" customFormat="false" ht="15" hidden="false" customHeight="false" outlineLevel="0" collapsed="false">
      <c r="B31" s="2" t="s">
        <v>30</v>
      </c>
    </row>
    <row r="32" customFormat="false" ht="30" hidden="false" customHeight="true" outlineLevel="0" collapsed="false">
      <c r="B32" s="3" t="s">
        <v>51</v>
      </c>
    </row>
    <row r="33" customFormat="false" ht="15" hidden="false" customHeight="false" outlineLevel="0" collapsed="false">
      <c r="B33" s="8" t="s">
        <v>32</v>
      </c>
      <c r="C33" s="9" t="n">
        <f aca="false">F27</f>
        <v>18.1599479843953</v>
      </c>
    </row>
    <row r="34" customFormat="false" ht="30" hidden="false" customHeight="true" outlineLevel="0" collapsed="false">
      <c r="B34" s="3" t="s">
        <v>52</v>
      </c>
    </row>
    <row r="36" customFormat="false" ht="15" hidden="false" customHeight="false" outlineLevel="0" collapsed="false">
      <c r="B36" s="2" t="s">
        <v>34</v>
      </c>
    </row>
    <row r="37" customFormat="false" ht="15" hidden="false" customHeight="false" outlineLevel="0" collapsed="false">
      <c r="B37" s="8" t="s">
        <v>35</v>
      </c>
      <c r="C37" s="9" t="n">
        <f aca="false">C20/(C20+C23)</f>
        <v>0.70771569745344</v>
      </c>
    </row>
    <row r="38" customFormat="false" ht="15" hidden="false" customHeight="false" outlineLevel="0" collapsed="false">
      <c r="B38" s="2" t="s">
        <v>37</v>
      </c>
    </row>
    <row r="39" customFormat="false" ht="49.5" hidden="false" customHeight="true" outlineLevel="0" collapsed="false">
      <c r="B39" s="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2026-03-09T09:09:47Z</dcterms:created>
  <dc:creator>openpyxl</dc:creator>
  <dc:description/>
  <dc:language>en-US</dc:language>
  <cp:lastModifiedBy/>
  <dcterms:modified xsi:type="dcterms:W3CDTF">2026-03-09T09:09:47Z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