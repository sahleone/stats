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1" sheetId="1" state="visible" r:id="rId3"/>
    <sheet name="Answer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<sst xmlns="http://schemas.openxmlformats.org/spreadsheetml/2006/main" count="50" uniqueCount="50">
  <si>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Answer 1: Exam Scores  —  X ~ N(74, 9²)</t>
  </si>
  <si>
    <t xml:space="preserve">(a) P(X &gt; 90)</t>
  </si>
  <si>
    <t xml:space="preserve">Z = (X − μ)/σ = (90 − 74)/9 =</t>
  </si>
  <si>
    <t xml:space="preserve">Z = 1.78</t>
  </si>
  <si>
    <t xml:space="preserve">P(Z ≤ 1.78) = 0.9625  (from z-table)</t>
  </si>
  <si>
    <t xml:space="preserve">P(X &gt; 90) = 1 − 0.9625 =</t>
  </si>
  <si>
    <t xml:space="preserve">About 3.75% of students scored above 90.</t>
  </si>
  <si>
    <t xml:space="preserve">(b) P(65 &lt; X &lt; 85)</t>
  </si>
  <si>
    <t xml:space="preserve">Z₁ = (65 − 74)/9 =</t>
  </si>
  <si>
    <t xml:space="preserve">Z₂ = (85 − 74)/9 =</t>
  </si>
  <si>
    <t xml:space="preserve">P(Z ≤ 1.22) = 0.8888</t>
  </si>
  <si>
    <t xml:space="preserve">P(Z ≤ −1.00) = 0.1587</t>
  </si>
  <si>
    <t xml:space="preserve">P(65 &lt; X &lt; 85) = 0.8888 − 0.1587 =</t>
  </si>
  <si>
    <t xml:space="preserve">About 73.01% of students scored between 65 and 85.</t>
  </si>
  <si>
    <t xml:space="preserve">(c) 95th Percentile</t>
  </si>
  <si>
    <t xml:space="preserve">Need P(Z ≤ z) = 0.95 → z = 1.645</t>
  </si>
  <si>
    <t xml:space="preserve">X = μ + z·σ = 74 + 1.645×9 =</t>
  </si>
  <si>
    <t xml:space="preserve">The 95th percentile is approximately 88.81. Only 5% of students scored above this.</t>
  </si>
  <si>
    <t xml:space="preserve">(d) Number Scoring Below 60</t>
  </si>
  <si>
    <t xml:space="preserve">Z = (60 − 74)/9 =</t>
  </si>
  <si>
    <t xml:space="preserve">Z = −1.56.  P(Z ≤ −1.56) = 0.0594</t>
  </si>
  <si>
    <t xml:space="preserve">Expected number = 200 × 0.0594 =</t>
  </si>
  <si>
    <t xml:space="preserve">Approximately 12 students (out of 200) scored below 60.</t>
  </si>
  <si>
    <t xml:space="preserve">Answer 2: Manufacturing  —  X ~ N(5.00, 0.03²)</t>
  </si>
  <si>
    <t xml:space="preserve">(a) P(4.95 &lt; X &lt; 5.05)</t>
  </si>
  <si>
    <t xml:space="preserve">Z₁ = (4.95 − 5.00)/0.03 =</t>
  </si>
  <si>
    <t xml:space="preserve">Z₂ = (5.05 − 5.00)/0.03 =</t>
  </si>
  <si>
    <t xml:space="preserve">Z₁ = −1.67, Z₂ = 1.67</t>
  </si>
  <si>
    <t xml:space="preserve">P(Z ≤ 1.67) = 0.9525,  P(Z ≤ −1.67) = 0.0475</t>
  </si>
  <si>
    <t xml:space="preserve">P(4.95 &lt; X &lt; 5.05) = 0.9525 − 0.0475 =</t>
  </si>
  <si>
    <t xml:space="preserve">About 90.50% of bolts are between 4.95 cm and 5.05 cm.</t>
  </si>
  <si>
    <t xml:space="preserve">(b) Rejection Rate</t>
  </si>
  <si>
    <t xml:space="preserve">Z_low = (4.94 − 5.00)/0.03 =</t>
  </si>
  <si>
    <t xml:space="preserve">Z_high = (5.06 − 5.00)/0.03 =</t>
  </si>
  <si>
    <t xml:space="preserve">Z_low = −2.00, Z_high = 2.00</t>
  </si>
  <si>
    <t xml:space="preserve">P(X &lt; 4.94) = P(Z &lt; −2.00) = 0.0228</t>
  </si>
  <si>
    <t xml:space="preserve">P(X &gt; 5.06) = P(Z &gt; 2.00) = 1 − 0.9772 = 0.0228</t>
  </si>
  <si>
    <t xml:space="preserve">P(rejected) = 0.0228 + 0.0228 =</t>
  </si>
  <si>
    <t xml:space="preserve">About 4.56% of bolts are rejected.</t>
  </si>
  <si>
    <t xml:space="preserve">(c) Maximum σ for ≤ 1% Rejection</t>
  </si>
  <si>
    <t xml:space="preserve">Rejection limits: 4.94 and 5.06 (symmetric around 5.00, distance = 0.06)</t>
  </si>
  <si>
    <t xml:space="preserve">For 1% total rejection (0.5% in each tail): z = 2.576</t>
  </si>
  <si>
    <t xml:space="preserve">We need: (5.06 − 5.00)/σ = 2.576</t>
  </si>
  <si>
    <t xml:space="preserve">σ = 0.06 / 2.576 =</t>
  </si>
  <si>
    <t xml:space="preserve">The maximum standard deviation is approximately 0.0233 cm.</t>
  </si>
  <si>
    <t xml:space="preserve">(d) Empirical Rule — 95% Interval</t>
  </si>
  <si>
    <t xml:space="preserve">μ ± 2σ = 5.00 ± 2(0.03) = 5.00 ± 0.06</t>
  </si>
  <si>
    <t xml:space="preserve">Lower bound =</t>
  </si>
  <si>
    <t xml:space="preserve">Upper bound =</t>
  </si>
  <si>
    <t xml:space="preserve">Approximately 95% of bolts have lengths between 4.94 cm and 5.06 cm.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</si>
</sst>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20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4" t="n">
        <f aca="false">(90-74)/9</f>
        <v>1.77777777777778</v>
      </c>
    </row>
    <row r="7" customFormat="false" ht="30" hidden="false" customHeight="true" outlineLevel="0" collapsed="false">
      <c r="B7" s="5" t="s">
        <v>3</v>
      </c>
    </row>
    <row r="8" customFormat="false" ht="30" hidden="false" customHeight="true" outlineLevel="0" collapsed="false">
      <c r="B8" s="5" t="s">
        <v>4</v>
      </c>
    </row>
    <row r="9" customFormat="false" ht="15" hidden="false" customHeight="false" outlineLevel="0" collapsed="false">
      <c r="B9" s="3" t="s">
        <v>5</v>
      </c>
      <c r="C9" s="6" t="n">
        <f aca="false">1-0.9625</f>
        <v>0.0375</v>
      </c>
    </row>
    <row r="10" customFormat="false" ht="30" hidden="false" customHeight="true" outlineLevel="0" collapsed="false">
      <c r="B10" s="5" t="s">
        <v>6</v>
      </c>
    </row>
    <row r="12" customFormat="false" ht="15" hidden="false" customHeight="false" outlineLevel="0" collapsed="false">
      <c r="B12" s="2" t="s">
        <v>7</v>
      </c>
    </row>
    <row r="14" customFormat="false" ht="15" hidden="false" customHeight="false" outlineLevel="0" collapsed="false">
      <c r="B14" s="3" t="s">
        <v>8</v>
      </c>
      <c r="C14" s="4" t="n">
        <f aca="false">(65-74)/9</f>
        <v>-1</v>
      </c>
    </row>
    <row r="15" customFormat="false" ht="15" hidden="false" customHeight="false" outlineLevel="0" collapsed="false">
      <c r="B15" s="3" t="s">
        <v>9</v>
      </c>
      <c r="C15" s="4" t="n">
        <f aca="false">(85-74)/9</f>
        <v>1.22222222222222</v>
      </c>
    </row>
    <row r="16" customFormat="false" ht="30" hidden="false" customHeight="true" outlineLevel="0" collapsed="false">
      <c r="B16" s="5" t="s">
        <v>10</v>
      </c>
    </row>
    <row r="17" customFormat="false" ht="30" hidden="false" customHeight="true" outlineLevel="0" collapsed="false">
      <c r="B17" s="5" t="s">
        <v>11</v>
      </c>
    </row>
    <row r="18" customFormat="false" ht="15" hidden="false" customHeight="false" outlineLevel="0" collapsed="false">
      <c r="B18" s="3" t="s">
        <v>12</v>
      </c>
      <c r="C18" s="6" t="n">
        <f aca="false">0.8888-0.1587</f>
        <v>0.7301</v>
      </c>
    </row>
    <row r="19" customFormat="false" ht="30" hidden="false" customHeight="true" outlineLevel="0" collapsed="false">
      <c r="B19" s="5" t="s">
        <v>13</v>
      </c>
    </row>
    <row r="21" customFormat="false" ht="15" hidden="false" customHeight="false" outlineLevel="0" collapsed="false">
      <c r="B21" s="2" t="s">
        <v>14</v>
      </c>
    </row>
    <row r="23" customFormat="false" ht="30" hidden="false" customHeight="true" outlineLevel="0" collapsed="false">
      <c r="B23" s="5" t="s">
        <v>15</v>
      </c>
    </row>
    <row r="24" customFormat="false" ht="15" hidden="false" customHeight="false" outlineLevel="0" collapsed="false">
      <c r="B24" s="3" t="s">
        <v>16</v>
      </c>
      <c r="C24" s="6" t="n">
        <f aca="false">74+1.645*9</f>
        <v>88.805</v>
      </c>
    </row>
    <row r="25" customFormat="false" ht="30" hidden="false" customHeight="true" outlineLevel="0" collapsed="false">
      <c r="B25" s="5" t="s">
        <v>17</v>
      </c>
    </row>
    <row r="27" customFormat="false" ht="15" hidden="false" customHeight="false" outlineLevel="0" collapsed="false">
      <c r="B27" s="2" t="s">
        <v>18</v>
      </c>
    </row>
    <row r="29" customFormat="false" ht="15" hidden="false" customHeight="false" outlineLevel="0" collapsed="false">
      <c r="B29" s="3" t="s">
        <v>19</v>
      </c>
      <c r="C29" s="4" t="n">
        <f aca="false">(60-74)/9</f>
        <v>-1.55555555555556</v>
      </c>
    </row>
    <row r="30" customFormat="false" ht="30" hidden="false" customHeight="true" outlineLevel="0" collapsed="false">
      <c r="B30" s="5" t="s">
        <v>20</v>
      </c>
    </row>
    <row r="31" customFormat="false" ht="15" hidden="false" customHeight="false" outlineLevel="0" collapsed="false">
      <c r="B31" s="3" t="s">
        <v>21</v>
      </c>
      <c r="C31" s="6" t="n">
        <f aca="false">200*0.0594</f>
        <v>11.88</v>
      </c>
    </row>
    <row r="32" customFormat="false" ht="30" hidden="false" customHeight="true" outlineLevel="0" collapsed="false">
      <c r="B3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20"/>
  </cols>
  <sheetData>
    <row r="1" customFormat="false" ht="17.35" hidden="false" customHeight="false" outlineLevel="0" collapsed="false">
      <c r="B1" s="1" t="s">
        <v>23</v>
      </c>
    </row>
    <row r="4" customFormat="false" ht="15" hidden="false" customHeight="false" outlineLevel="0" collapsed="false">
      <c r="B4" s="2" t="s">
        <v>24</v>
      </c>
    </row>
    <row r="6" customFormat="false" ht="15" hidden="false" customHeight="false" outlineLevel="0" collapsed="false">
      <c r="B6" s="3" t="s">
        <v>25</v>
      </c>
      <c r="C6" s="4" t="n">
        <f aca="false">(4.95-5)/0.03</f>
        <v>-1.66666666666666</v>
      </c>
    </row>
    <row r="7" customFormat="false" ht="15" hidden="false" customHeight="false" outlineLevel="0" collapsed="false">
      <c r="B7" s="3" t="s">
        <v>26</v>
      </c>
      <c r="C7" s="4" t="n">
        <f aca="false">(5.05-5)/0.03</f>
        <v>1.66666666666666</v>
      </c>
    </row>
    <row r="8" customFormat="false" ht="30" hidden="false" customHeight="true" outlineLevel="0" collapsed="false">
      <c r="B8" s="5" t="s">
        <v>27</v>
      </c>
    </row>
    <row r="9" customFormat="false" ht="30" hidden="false" customHeight="true" outlineLevel="0" collapsed="false">
      <c r="B9" s="5" t="s">
        <v>28</v>
      </c>
    </row>
    <row r="10" customFormat="false" ht="15" hidden="false" customHeight="false" outlineLevel="0" collapsed="false">
      <c r="B10" s="3" t="s">
        <v>29</v>
      </c>
      <c r="C10" s="6" t="n">
        <f aca="false">0.9525-0.0475</f>
        <v>0.905</v>
      </c>
    </row>
    <row r="11" customFormat="false" ht="30" hidden="false" customHeight="true" outlineLevel="0" collapsed="false">
      <c r="B11" s="5" t="s">
        <v>30</v>
      </c>
    </row>
    <row r="13" customFormat="false" ht="15" hidden="false" customHeight="false" outlineLevel="0" collapsed="false">
      <c r="B13" s="2" t="s">
        <v>31</v>
      </c>
    </row>
    <row r="15" customFormat="false" ht="15" hidden="false" customHeight="false" outlineLevel="0" collapsed="false">
      <c r="B15" s="3" t="s">
        <v>32</v>
      </c>
      <c r="C15" s="4" t="n">
        <f aca="false">(4.94-5)/0.03</f>
        <v>-1.99999999999999</v>
      </c>
    </row>
    <row r="16" customFormat="false" ht="15" hidden="false" customHeight="false" outlineLevel="0" collapsed="false">
      <c r="B16" s="3" t="s">
        <v>33</v>
      </c>
      <c r="C16" s="4" t="n">
        <f aca="false">(5.06-5)/0.03</f>
        <v>1.99999999999999</v>
      </c>
    </row>
    <row r="17" customFormat="false" ht="30" hidden="false" customHeight="true" outlineLevel="0" collapsed="false">
      <c r="B17" s="5" t="s">
        <v>34</v>
      </c>
    </row>
    <row r="18" customFormat="false" ht="30" hidden="false" customHeight="true" outlineLevel="0" collapsed="false">
      <c r="B18" s="5" t="s">
        <v>35</v>
      </c>
    </row>
    <row r="19" customFormat="false" ht="30" hidden="false" customHeight="true" outlineLevel="0" collapsed="false">
      <c r="B19" s="5" t="s">
        <v>36</v>
      </c>
    </row>
    <row r="20" customFormat="false" ht="15" hidden="false" customHeight="false" outlineLevel="0" collapsed="false">
      <c r="B20" s="3" t="s">
        <v>37</v>
      </c>
      <c r="C20" s="6" t="n">
        <f aca="false">0.0228+0.0228</f>
        <v>0.0456</v>
      </c>
    </row>
    <row r="21" customFormat="false" ht="30" hidden="false" customHeight="true" outlineLevel="0" collapsed="false">
      <c r="B21" s="5" t="s">
        <v>38</v>
      </c>
    </row>
    <row r="23" customFormat="false" ht="15" hidden="false" customHeight="false" outlineLevel="0" collapsed="false">
      <c r="B23" s="2" t="s">
        <v>39</v>
      </c>
    </row>
    <row r="25" customFormat="false" ht="30" hidden="false" customHeight="true" outlineLevel="0" collapsed="false">
      <c r="B25" s="5" t="s">
        <v>40</v>
      </c>
    </row>
    <row r="26" customFormat="false" ht="30" hidden="false" customHeight="true" outlineLevel="0" collapsed="false">
      <c r="B26" s="5" t="s">
        <v>41</v>
      </c>
    </row>
    <row r="27" customFormat="false" ht="30" hidden="false" customHeight="true" outlineLevel="0" collapsed="false">
      <c r="B27" s="5" t="s">
        <v>42</v>
      </c>
    </row>
    <row r="28" customFormat="false" ht="15" hidden="false" customHeight="false" outlineLevel="0" collapsed="false">
      <c r="B28" s="3" t="s">
        <v>43</v>
      </c>
      <c r="C28" s="6" t="n">
        <f aca="false">0.06/2.576</f>
        <v>0.0232919254658385</v>
      </c>
    </row>
    <row r="29" customFormat="false" ht="30" hidden="false" customHeight="true" outlineLevel="0" collapsed="false">
      <c r="B29" s="5" t="s">
        <v>44</v>
      </c>
    </row>
    <row r="31" customFormat="false" ht="15" hidden="false" customHeight="false" outlineLevel="0" collapsed="false">
      <c r="B31" s="2" t="s">
        <v>45</v>
      </c>
    </row>
    <row r="33" customFormat="false" ht="30" hidden="false" customHeight="true" outlineLevel="0" collapsed="false">
      <c r="B33" s="5" t="s">
        <v>46</v>
      </c>
    </row>
    <row r="34" customFormat="false" ht="15" hidden="false" customHeight="false" outlineLevel="0" collapsed="false">
      <c r="B34" s="3" t="s">
        <v>47</v>
      </c>
      <c r="C34" s="4" t="n">
        <f aca="false">5-2*0.03</f>
        <v>4.94</v>
      </c>
    </row>
    <row r="35" customFormat="false" ht="15" hidden="false" customHeight="false" outlineLevel="0" collapsed="false">
      <c r="B35" s="3" t="s">
        <v>48</v>
      </c>
      <c r="C35" s="4" t="n">
        <f aca="false">5+2*0.03</f>
        <v>5.06</v>
      </c>
    </row>
    <row r="36" customFormat="false" ht="30" hidden="false" customHeight="true" outlineLevel="0" collapsed="false">
      <c r="B36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2026-03-08T23:54:01Z</dcterms:created>
  <dc:creator>openpyxl</dc:creator>
  <dc:description/>
  <dc:language>en-US</dc:language>
  <cp:lastModifiedBy/>
  <dcterms:modified xsi:type="dcterms:W3CDTF">2026-03-08T23:54:01Z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