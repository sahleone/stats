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nswer 1" sheetId="1" state="visible" r:id="rId3"/>
    <sheet name="Answer 2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<sst xmlns="http://schemas.openxmlformats.org/spreadsheetml/2006/main" count="39" uniqueCount="33">
  <si>
    <t xml:space="preserve">Answer 1: Customer Orders</t>
  </si>
  <si>
    <t xml:space="preserve">(a) Verify Valid Distribution</t>
  </si>
  <si>
    <t xml:space="preserve">x</t>
  </si>
  <si>
    <t xml:space="preserve">P(X=x)</t>
  </si>
  <si>
    <t xml:space="preserve">x·P(X=x)</t>
  </si>
  <si>
    <t xml:space="preserve">x²</t>
  </si>
  <si>
    <t xml:space="preserve">x²·P(X=x)</t>
  </si>
  <si>
    <t xml:space="preserve">Total</t>
  </si>
  <si>
    <t xml:space="preserve">Σ P(X=x) = 0.25+0.35+0.20+0.12+0.08 = 1.00 ✓  Valid distribution.</t>
  </si>
  <si>
    <t xml:space="preserve">(b) E(X)</t>
  </si>
  <si>
    <t xml:space="preserve">E(X) = Σ x·P(X=x) =</t>
  </si>
  <si>
    <t xml:space="preserve">(c) Var(X) and σ</t>
  </si>
  <si>
    <t xml:space="preserve">E(X²) =</t>
  </si>
  <si>
    <t xml:space="preserve">Var(X) = E(X²)−[E(X)]² =</t>
  </si>
  <si>
    <t xml:space="preserve">σ = √Var(X) =</t>
  </si>
  <si>
    <t xml:space="preserve">(d) Expected Revenue</t>
  </si>
  <si>
    <t xml:space="preserve">Revenue = 8X + 3</t>
  </si>
  <si>
    <t xml:space="preserve">E(Revenue) = E(8X + 3) = 8·E(X) + 3</t>
  </si>
  <si>
    <t xml:space="preserve">E(Revenue) = 8 × E(X) + 3 =</t>
  </si>
  <si>
    <t xml:space="preserve">The expected revenue per order is $22.36.</t>
  </si>
  <si>
    <t xml:space="preserve">Answer 2: Apartment Maintenance Calls</t>
  </si>
  <si>
    <t xml:space="preserve">(a) &amp; (b) &amp; (c) Full Calculation Table</t>
  </si>
  <si>
    <t xml:space="preserve">(a) Σ P(X=x) = 0.15+0.30+0.25+0.15+0.10+0.05 = 1.00 ✓</t>
  </si>
  <si>
    <t xml:space="preserve">(b) E(X) =</t>
  </si>
  <si>
    <t xml:space="preserve">(c) Var(X) = E(X²)−[E(X)]² =</t>
  </si>
  <si>
    <t xml:space="preserve">σ =</t>
  </si>
  <si>
    <t xml:space="preserve">(d) Expected Daily Cost</t>
  </si>
  <si>
    <t xml:space="preserve">Cost = 45X</t>
  </si>
  <si>
    <t xml:space="preserve">E(Cost) = 45·E(X) =</t>
  </si>
  <si>
    <t xml:space="preserve">SD(Cost) = 45·σ =</t>
  </si>
  <si>
    <t xml:space="preserve">(e) P(X ≥ 3)</t>
  </si>
  <si>
    <t xml:space="preserve">P(X ≥ 3) = P(X=3) + P(X=4) + P(X=5) = 0.15 + 0.10 + 0.05 = 0.30</t>
  </si>
  <si>
    <t xml:space="preserve">There is a 30% chance of receiving 3 or more maintenance calls on any given day.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</si>
</sst>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2F5496"/>
      <name val="Arial"/>
      <family val="0"/>
      <charset val="1"/>
    </font>
    <font>
      <b val="true"/>
      <sz val="11"/>
      <color rgb="FF2F5496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2F5496"/>
        <bgColor rgb="FF666699"/>
      </patternFill>
    </fill>
    <fill>
      <patternFill patternType="solid">
        <fgColor rgb="FFE2EFDA"/>
        <bgColor rgb="FFFFF2CC"/>
      </patternFill>
    </fill>
    <fill>
      <patternFill patternType="solid">
        <fgColor rgb="FFFFF2CC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F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2"/>
    <col collapsed="false" customWidth="true" hidden="false" outlineLevel="0" max="4" min="3" style="0" width="18"/>
    <col collapsed="false" customWidth="true" hidden="false" outlineLevel="0" max="6" min="5" style="0" width="22"/>
  </cols>
  <sheetData>
    <row r="1" customFormat="false" ht="17.35" hidden="false" customHeight="false" outlineLevel="0" collapsed="false">
      <c r="B1" s="1" t="s">
        <v>0</v>
      </c>
    </row>
    <row r="4" customFormat="false" ht="26.85" hidden="false" customHeight="false" outlineLevel="0" collapsed="false">
      <c r="B4" s="2" t="s">
        <v>1</v>
      </c>
    </row>
    <row r="6" customFormat="false" ht="15" hidden="false" customHeight="false" outlineLevel="0" collapsed="false">
      <c r="B6" s="3" t="s">
        <v>2</v>
      </c>
      <c r="C6" s="3" t="s">
        <v>3</v>
      </c>
      <c r="D6" s="3" t="s">
        <v>4</v>
      </c>
      <c r="E6" s="3" t="s">
        <v>5</v>
      </c>
      <c r="F6" s="3" t="s">
        <v>6</v>
      </c>
    </row>
    <row r="7" customFormat="false" ht="15" hidden="false" customHeight="false" outlineLevel="0" collapsed="false">
      <c r="B7" s="4" t="n">
        <v>1</v>
      </c>
      <c r="C7" s="4" t="n">
        <v>0.25</v>
      </c>
      <c r="D7" s="4" t="n">
        <f aca="false">B7*C7</f>
        <v>0.25</v>
      </c>
      <c r="E7" s="4" t="n">
        <f aca="false">B7^2</f>
        <v>1</v>
      </c>
      <c r="F7" s="4" t="n">
        <f aca="false">E7*C7</f>
        <v>0.25</v>
      </c>
    </row>
    <row r="8" customFormat="false" ht="15" hidden="false" customHeight="false" outlineLevel="0" collapsed="false">
      <c r="B8" s="4" t="n">
        <v>2</v>
      </c>
      <c r="C8" s="4" t="n">
        <v>0.35</v>
      </c>
      <c r="D8" s="4" t="n">
        <f aca="false">B8*C8</f>
        <v>0.7</v>
      </c>
      <c r="E8" s="4" t="n">
        <f aca="false">B8^2</f>
        <v>4</v>
      </c>
      <c r="F8" s="4" t="n">
        <f aca="false">E8*C8</f>
        <v>1.4</v>
      </c>
    </row>
    <row r="9" customFormat="false" ht="15" hidden="false" customHeight="false" outlineLevel="0" collapsed="false">
      <c r="B9" s="4" t="n">
        <v>3</v>
      </c>
      <c r="C9" s="4" t="n">
        <v>0.2</v>
      </c>
      <c r="D9" s="4" t="n">
        <f aca="false">B9*C9</f>
        <v>0.6</v>
      </c>
      <c r="E9" s="4" t="n">
        <f aca="false">B9^2</f>
        <v>9</v>
      </c>
      <c r="F9" s="4" t="n">
        <f aca="false">E9*C9</f>
        <v>1.8</v>
      </c>
    </row>
    <row r="10" customFormat="false" ht="15" hidden="false" customHeight="false" outlineLevel="0" collapsed="false">
      <c r="B10" s="4" t="n">
        <v>4</v>
      </c>
      <c r="C10" s="4" t="n">
        <v>0.12</v>
      </c>
      <c r="D10" s="4" t="n">
        <f aca="false">B10*C10</f>
        <v>0.48</v>
      </c>
      <c r="E10" s="4" t="n">
        <f aca="false">B10^2</f>
        <v>16</v>
      </c>
      <c r="F10" s="4" t="n">
        <f aca="false">E10*C10</f>
        <v>1.92</v>
      </c>
    </row>
    <row r="11" customFormat="false" ht="15" hidden="false" customHeight="false" outlineLevel="0" collapsed="false">
      <c r="B11" s="4" t="n">
        <v>5</v>
      </c>
      <c r="C11" s="4" t="n">
        <v>0.08</v>
      </c>
      <c r="D11" s="4" t="n">
        <f aca="false">B11*C11</f>
        <v>0.4</v>
      </c>
      <c r="E11" s="4" t="n">
        <f aca="false">B11^2</f>
        <v>25</v>
      </c>
      <c r="F11" s="4" t="n">
        <f aca="false">E11*C11</f>
        <v>2</v>
      </c>
    </row>
    <row r="12" customFormat="false" ht="15" hidden="false" customHeight="false" outlineLevel="0" collapsed="false">
      <c r="B12" s="5" t="s">
        <v>7</v>
      </c>
      <c r="C12" s="6" t="n">
        <f aca="false">SUM(C7:C11)</f>
        <v>1</v>
      </c>
      <c r="D12" s="7" t="n">
        <f aca="false">SUM(D7:D11)</f>
        <v>2.43</v>
      </c>
      <c r="F12" s="7" t="n">
        <f aca="false">SUM(F7:F11)</f>
        <v>7.37</v>
      </c>
    </row>
    <row r="14" customFormat="false" ht="30" hidden="false" customHeight="true" outlineLevel="0" collapsed="false">
      <c r="B14" s="8" t="s">
        <v>8</v>
      </c>
    </row>
    <row r="16" customFormat="false" ht="15" hidden="false" customHeight="false" outlineLevel="0" collapsed="false">
      <c r="B16" s="2" t="s">
        <v>9</v>
      </c>
    </row>
    <row r="18" customFormat="false" ht="15" hidden="false" customHeight="false" outlineLevel="0" collapsed="false">
      <c r="B18" s="9" t="s">
        <v>10</v>
      </c>
      <c r="C18" s="7" t="n">
        <f aca="false">D12</f>
        <v>2.43</v>
      </c>
    </row>
    <row r="20" customFormat="false" ht="15" hidden="false" customHeight="false" outlineLevel="0" collapsed="false">
      <c r="B20" s="2" t="s">
        <v>11</v>
      </c>
    </row>
    <row r="22" customFormat="false" ht="15" hidden="false" customHeight="false" outlineLevel="0" collapsed="false">
      <c r="B22" s="9" t="s">
        <v>12</v>
      </c>
      <c r="C22" s="5" t="n">
        <f aca="false">F12</f>
        <v>7.37</v>
      </c>
    </row>
    <row r="23" customFormat="false" ht="15" hidden="false" customHeight="false" outlineLevel="0" collapsed="false">
      <c r="B23" s="9" t="s">
        <v>13</v>
      </c>
      <c r="C23" s="7" t="n">
        <f aca="false">F12-D12^2</f>
        <v>1.4651</v>
      </c>
    </row>
    <row r="24" customFormat="false" ht="15" hidden="false" customHeight="false" outlineLevel="0" collapsed="false">
      <c r="B24" s="9" t="s">
        <v>14</v>
      </c>
      <c r="C24" s="7" t="n">
        <f aca="false">SQRT(C23)</f>
        <v>1.21041315260534</v>
      </c>
    </row>
    <row r="26" customFormat="false" ht="26.85" hidden="false" customHeight="false" outlineLevel="0" collapsed="false">
      <c r="B26" s="2" t="s">
        <v>15</v>
      </c>
    </row>
    <row r="28" customFormat="false" ht="30" hidden="false" customHeight="true" outlineLevel="0" collapsed="false">
      <c r="B28" s="8" t="s">
        <v>16</v>
      </c>
    </row>
    <row r="29" customFormat="false" ht="30" hidden="false" customHeight="true" outlineLevel="0" collapsed="false">
      <c r="B29" s="8" t="s">
        <v>17</v>
      </c>
    </row>
    <row r="30" customFormat="false" ht="15" hidden="false" customHeight="false" outlineLevel="0" collapsed="false">
      <c r="B30" s="9" t="s">
        <v>18</v>
      </c>
      <c r="C30" s="7" t="n">
        <f aca="false">8*D12+3</f>
        <v>22.44</v>
      </c>
    </row>
    <row r="32" customFormat="false" ht="30" hidden="false" customHeight="true" outlineLevel="0" collapsed="false">
      <c r="B32" s="8" t="s">
        <v>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F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2"/>
    <col collapsed="false" customWidth="true" hidden="false" outlineLevel="0" max="4" min="3" style="0" width="18"/>
    <col collapsed="false" customWidth="true" hidden="false" outlineLevel="0" max="6" min="5" style="0" width="22"/>
  </cols>
  <sheetData>
    <row r="1" customFormat="false" ht="17.35" hidden="false" customHeight="false" outlineLevel="0" collapsed="false">
      <c r="B1" s="1" t="s">
        <v>20</v>
      </c>
    </row>
    <row r="4" customFormat="false" ht="26.85" hidden="false" customHeight="false" outlineLevel="0" collapsed="false">
      <c r="B4" s="2" t="s">
        <v>21</v>
      </c>
    </row>
    <row r="6" customFormat="false" ht="15" hidden="false" customHeight="false" outlineLevel="0" collapsed="false">
      <c r="B6" s="3" t="s">
        <v>2</v>
      </c>
      <c r="C6" s="3" t="s">
        <v>3</v>
      </c>
      <c r="D6" s="3" t="s">
        <v>4</v>
      </c>
      <c r="E6" s="3" t="s">
        <v>5</v>
      </c>
      <c r="F6" s="3" t="s">
        <v>6</v>
      </c>
    </row>
    <row r="7" customFormat="false" ht="15" hidden="false" customHeight="false" outlineLevel="0" collapsed="false">
      <c r="B7" s="4" t="n">
        <v>0</v>
      </c>
      <c r="C7" s="4" t="n">
        <v>0.15</v>
      </c>
      <c r="D7" s="4" t="n">
        <f aca="false">B7*C7</f>
        <v>0</v>
      </c>
      <c r="E7" s="4" t="n">
        <f aca="false">B7^2</f>
        <v>0</v>
      </c>
      <c r="F7" s="4" t="n">
        <f aca="false">E7*C7</f>
        <v>0</v>
      </c>
    </row>
    <row r="8" customFormat="false" ht="15" hidden="false" customHeight="false" outlineLevel="0" collapsed="false">
      <c r="B8" s="4" t="n">
        <v>1</v>
      </c>
      <c r="C8" s="4" t="n">
        <v>0.3</v>
      </c>
      <c r="D8" s="4" t="n">
        <f aca="false">B8*C8</f>
        <v>0.3</v>
      </c>
      <c r="E8" s="4" t="n">
        <f aca="false">B8^2</f>
        <v>1</v>
      </c>
      <c r="F8" s="4" t="n">
        <f aca="false">E8*C8</f>
        <v>0.3</v>
      </c>
    </row>
    <row r="9" customFormat="false" ht="15" hidden="false" customHeight="false" outlineLevel="0" collapsed="false">
      <c r="B9" s="4" t="n">
        <v>2</v>
      </c>
      <c r="C9" s="4" t="n">
        <v>0.25</v>
      </c>
      <c r="D9" s="4" t="n">
        <f aca="false">B9*C9</f>
        <v>0.5</v>
      </c>
      <c r="E9" s="4" t="n">
        <f aca="false">B9^2</f>
        <v>4</v>
      </c>
      <c r="F9" s="4" t="n">
        <f aca="false">E9*C9</f>
        <v>1</v>
      </c>
    </row>
    <row r="10" customFormat="false" ht="15" hidden="false" customHeight="false" outlineLevel="0" collapsed="false">
      <c r="B10" s="4" t="n">
        <v>3</v>
      </c>
      <c r="C10" s="4" t="n">
        <v>0.15</v>
      </c>
      <c r="D10" s="4" t="n">
        <f aca="false">B10*C10</f>
        <v>0.45</v>
      </c>
      <c r="E10" s="4" t="n">
        <f aca="false">B10^2</f>
        <v>9</v>
      </c>
      <c r="F10" s="4" t="n">
        <f aca="false">E10*C10</f>
        <v>1.35</v>
      </c>
    </row>
    <row r="11" customFormat="false" ht="15" hidden="false" customHeight="false" outlineLevel="0" collapsed="false">
      <c r="B11" s="4" t="n">
        <v>4</v>
      </c>
      <c r="C11" s="4" t="n">
        <v>0.1</v>
      </c>
      <c r="D11" s="4" t="n">
        <f aca="false">B11*C11</f>
        <v>0.4</v>
      </c>
      <c r="E11" s="4" t="n">
        <f aca="false">B11^2</f>
        <v>16</v>
      </c>
      <c r="F11" s="4" t="n">
        <f aca="false">E11*C11</f>
        <v>1.6</v>
      </c>
    </row>
    <row r="12" customFormat="false" ht="15" hidden="false" customHeight="false" outlineLevel="0" collapsed="false">
      <c r="B12" s="4" t="n">
        <v>5</v>
      </c>
      <c r="C12" s="4" t="n">
        <v>0.05</v>
      </c>
      <c r="D12" s="4" t="n">
        <f aca="false">B12*C12</f>
        <v>0.25</v>
      </c>
      <c r="E12" s="4" t="n">
        <f aca="false">B12^2</f>
        <v>25</v>
      </c>
      <c r="F12" s="4" t="n">
        <f aca="false">E12*C12</f>
        <v>1.25</v>
      </c>
    </row>
    <row r="13" customFormat="false" ht="15" hidden="false" customHeight="false" outlineLevel="0" collapsed="false">
      <c r="B13" s="5" t="s">
        <v>7</v>
      </c>
      <c r="C13" s="6" t="n">
        <f aca="false">SUM(C7:C12)</f>
        <v>1</v>
      </c>
      <c r="D13" s="7" t="n">
        <f aca="false">SUM(D7:D12)</f>
        <v>1.9</v>
      </c>
      <c r="F13" s="7" t="n">
        <f aca="false">SUM(F7:F12)</f>
        <v>5.5</v>
      </c>
    </row>
    <row r="15" customFormat="false" ht="30" hidden="false" customHeight="true" outlineLevel="0" collapsed="false">
      <c r="B15" s="8" t="s">
        <v>22</v>
      </c>
    </row>
    <row r="17" customFormat="false" ht="15" hidden="false" customHeight="false" outlineLevel="0" collapsed="false">
      <c r="B17" s="9" t="s">
        <v>23</v>
      </c>
      <c r="C17" s="7" t="n">
        <f aca="false">D13</f>
        <v>1.9</v>
      </c>
    </row>
    <row r="19" customFormat="false" ht="15" hidden="false" customHeight="false" outlineLevel="0" collapsed="false">
      <c r="B19" s="9" t="s">
        <v>24</v>
      </c>
      <c r="C19" s="7" t="n">
        <f aca="false">F13-D13^2</f>
        <v>1.89</v>
      </c>
    </row>
    <row r="20" customFormat="false" ht="15" hidden="false" customHeight="false" outlineLevel="0" collapsed="false">
      <c r="B20" s="9" t="s">
        <v>25</v>
      </c>
      <c r="C20" s="7" t="n">
        <f aca="false">SQRT(C19)</f>
        <v>1.37477270848675</v>
      </c>
    </row>
    <row r="22" customFormat="false" ht="26.85" hidden="false" customHeight="false" outlineLevel="0" collapsed="false">
      <c r="B22" s="2" t="s">
        <v>26</v>
      </c>
    </row>
    <row r="24" customFormat="false" ht="30" hidden="false" customHeight="true" outlineLevel="0" collapsed="false">
      <c r="B24" s="8" t="s">
        <v>27</v>
      </c>
    </row>
    <row r="25" customFormat="false" ht="15" hidden="false" customHeight="false" outlineLevel="0" collapsed="false">
      <c r="B25" s="9" t="s">
        <v>28</v>
      </c>
      <c r="C25" s="7" t="n">
        <f aca="false">45*D13</f>
        <v>85.5</v>
      </c>
    </row>
    <row r="26" customFormat="false" ht="15" hidden="false" customHeight="false" outlineLevel="0" collapsed="false">
      <c r="B26" s="9" t="s">
        <v>29</v>
      </c>
      <c r="C26" s="7" t="n">
        <f aca="false">45*SQRT(F13-D13^2)</f>
        <v>61.8647718819038</v>
      </c>
    </row>
    <row r="28" customFormat="false" ht="15" hidden="false" customHeight="false" outlineLevel="0" collapsed="false">
      <c r="B28" s="2" t="s">
        <v>30</v>
      </c>
    </row>
    <row r="30" customFormat="false" ht="30" hidden="false" customHeight="true" outlineLevel="0" collapsed="false">
      <c r="B30" s="8" t="s">
        <v>31</v>
      </c>
    </row>
    <row r="31" customFormat="false" ht="30" hidden="false" customHeight="true" outlineLevel="0" collapsed="false">
      <c r="B31" s="8" t="s">
        <v>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2026-03-08T23:54:00Z</dcterms:created>
  <dc:creator>openpyxl</dc:creator>
  <dc:description/>
  <dc:language>en-US</dc:language>
  <cp:lastModifiedBy/>
  <dcterms:modified xsi:type="dcterms:W3CDTF">2026-03-08T23:54:00Z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